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9d80efa50316464/Documents/VS Code/Bus_wei/"/>
    </mc:Choice>
  </mc:AlternateContent>
  <xr:revisionPtr revIDLastSave="2233" documentId="13_ncr:1_{D9E8BF95-1987-498C-8F13-41BEF97EBDF1}" xr6:coauthVersionLast="47" xr6:coauthVersionMax="47" xr10:uidLastSave="{118E8F6D-A0E0-435B-B8FD-97DD0EAD5B7E}"/>
  <bookViews>
    <workbookView xWindow="-98" yWindow="-98" windowWidth="20715" windowHeight="13276" activeTab="4" xr2:uid="{00000000-000D-0000-FFFF-FFFF00000000}"/>
  </bookViews>
  <sheets>
    <sheet name="0.TO DO" sheetId="19" r:id="rId1"/>
    <sheet name="1.Export" sheetId="18" r:id="rId2"/>
    <sheet name="2.Données" sheetId="14" r:id="rId3"/>
    <sheet name="3.Solveur" sheetId="17" r:id="rId4"/>
    <sheet name="4.Synthèse" sheetId="23" r:id="rId5"/>
    <sheet name="Bus 1" sheetId="24" r:id="rId6"/>
    <sheet name="Bus 2" sheetId="33" r:id="rId7"/>
    <sheet name="Bus 3" sheetId="34" r:id="rId8"/>
    <sheet name="Bus 4" sheetId="35" r:id="rId9"/>
    <sheet name="Bus 5" sheetId="36" r:id="rId10"/>
    <sheet name="Bus 6" sheetId="37" r:id="rId11"/>
    <sheet name="Bus 7" sheetId="38" r:id="rId12"/>
    <sheet name="Bus 8" sheetId="39" r:id="rId13"/>
    <sheet name="Bus 9" sheetId="40" r:id="rId14"/>
  </sheets>
  <definedNames>
    <definedName name="_xlnm._FilterDatabase" localSheetId="1" hidden="1">'1.Export'!$A$1:$M$543</definedName>
    <definedName name="OpenSolver_ChosenSolver" localSheetId="3" hidden="1">CBC</definedName>
    <definedName name="OpenSolver_DualsNewSheet" localSheetId="3" hidden="1">0</definedName>
    <definedName name="OpenSolver_LinearityCheck" localSheetId="3" hidden="1">1</definedName>
    <definedName name="OpenSolver_UpdateSensitivity" localSheetId="3" hidden="1">1</definedName>
    <definedName name="solver_adj" localSheetId="3" hidden="1">'3.Solveur'!$I$9:$AP$17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'3.Solveur'!$I$9:$AP$17</definedName>
    <definedName name="solver_lhs2" localSheetId="3" hidden="1">'3.Solveur'!$E$9:$E$17</definedName>
    <definedName name="solver_lhs3" localSheetId="3" hidden="1">'3.Solveur'!$I$20:$AP$20</definedName>
    <definedName name="solver_lhs4" localSheetId="3" hidden="1">'3.Solveur'!$F$9:$F$17</definedName>
    <definedName name="solver_lhs5" localSheetId="3" hidden="1">'3.Solveur'!$F$9:$F$17</definedName>
    <definedName name="solver_lhs6" localSheetId="3" hidden="1">'3.Solveur'!$G$9:$G$17</definedName>
    <definedName name="solver_lhs7" localSheetId="3" hidden="1">'3.Solveur'!$H$9:$H$17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7</definedName>
    <definedName name="solver_nwt" localSheetId="3" hidden="1">1</definedName>
    <definedName name="solver_pre" localSheetId="3" hidden="1">0.000001</definedName>
    <definedName name="solver_rbv" localSheetId="3" hidden="1">1</definedName>
    <definedName name="solver_rel1" localSheetId="3" hidden="1">5</definedName>
    <definedName name="solver_rel2" localSheetId="3" hidden="1">1</definedName>
    <definedName name="solver_rel3" localSheetId="3" hidden="1">2</definedName>
    <definedName name="solver_rel4" localSheetId="3" hidden="1">1</definedName>
    <definedName name="solver_rel5" localSheetId="3" hidden="1">3</definedName>
    <definedName name="solver_rel6" localSheetId="3" hidden="1">1</definedName>
    <definedName name="solver_rel7" localSheetId="3" hidden="1">3</definedName>
    <definedName name="solver_rhs1" localSheetId="3" hidden="1">binary</definedName>
    <definedName name="solver_rhs2" localSheetId="3" hidden="1">'3.Solveur'!$B$9:$B$17</definedName>
    <definedName name="solver_rhs3" localSheetId="3" hidden="1">1</definedName>
    <definedName name="solver_rhs4" localSheetId="3" hidden="1">2</definedName>
    <definedName name="solver_rhs5" localSheetId="3" hidden="1">-2</definedName>
    <definedName name="solver_rhs6" localSheetId="3" hidden="1">10</definedName>
    <definedName name="solver_rhs7" localSheetId="3" hidden="1">6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1</definedName>
    <definedName name="solver_ssz" localSheetId="3" hidden="1">100</definedName>
    <definedName name="solver_tim" localSheetId="3" hidden="1">2000</definedName>
    <definedName name="solver_tol" localSheetId="3" hidden="1">0.05</definedName>
    <definedName name="solver_typ" localSheetId="3" hidden="1">2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3" l="1"/>
  <c r="S2" i="18"/>
  <c r="S3" i="18"/>
  <c r="E9" i="17"/>
  <c r="F9" i="17"/>
  <c r="G9" i="17"/>
  <c r="H9" i="17"/>
  <c r="E10" i="17"/>
  <c r="F10" i="17"/>
  <c r="G10" i="17"/>
  <c r="H10" i="17"/>
  <c r="E11" i="17"/>
  <c r="F11" i="17"/>
  <c r="G11" i="17"/>
  <c r="H11" i="17"/>
  <c r="E12" i="17"/>
  <c r="F12" i="17"/>
  <c r="G12" i="17"/>
  <c r="H12" i="17"/>
  <c r="E13" i="17"/>
  <c r="F13" i="17"/>
  <c r="G13" i="17"/>
  <c r="H13" i="17"/>
  <c r="E14" i="17"/>
  <c r="F14" i="17"/>
  <c r="G14" i="17"/>
  <c r="H14" i="17"/>
  <c r="E15" i="17"/>
  <c r="F15" i="17"/>
  <c r="G15" i="17"/>
  <c r="H15" i="17"/>
  <c r="E16" i="17"/>
  <c r="F16" i="17"/>
  <c r="G16" i="17"/>
  <c r="H16" i="17"/>
  <c r="E17" i="17"/>
  <c r="F17" i="17"/>
  <c r="G17" i="17"/>
  <c r="H17" i="17"/>
  <c r="H18" i="17"/>
  <c r="G18" i="17"/>
  <c r="G3" i="14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B18" i="17"/>
  <c r="B11" i="17"/>
  <c r="B12" i="17"/>
  <c r="B13" i="17"/>
  <c r="B14" i="17"/>
  <c r="B15" i="17"/>
  <c r="B16" i="17"/>
  <c r="B17" i="17"/>
  <c r="B9" i="17"/>
  <c r="B10" i="17"/>
  <c r="J20" i="17"/>
  <c r="K20" i="17"/>
  <c r="L20" i="17"/>
  <c r="M20" i="17"/>
  <c r="I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E4" i="14"/>
  <c r="C10" i="17" s="1"/>
  <c r="E5" i="14"/>
  <c r="C11" i="17" s="1"/>
  <c r="E6" i="14"/>
  <c r="C12" i="17" s="1"/>
  <c r="E7" i="14"/>
  <c r="C13" i="17" s="1"/>
  <c r="E8" i="14"/>
  <c r="C14" i="17" s="1"/>
  <c r="E9" i="14"/>
  <c r="C15" i="17" s="1"/>
  <c r="E10" i="14"/>
  <c r="C16" i="17" s="1"/>
  <c r="E11" i="14"/>
  <c r="C17" i="17" s="1"/>
  <c r="F18" i="17" l="1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I22" i="17"/>
  <c r="S1" i="18"/>
  <c r="S4" i="18" s="1"/>
  <c r="D8" i="23" l="1"/>
  <c r="D9" i="23"/>
  <c r="D10" i="23"/>
  <c r="D11" i="23"/>
  <c r="D12" i="23"/>
  <c r="D13" i="23"/>
  <c r="D14" i="23"/>
  <c r="D15" i="23"/>
  <c r="D16" i="23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N415" i="18" l="1"/>
  <c r="O415" i="18"/>
  <c r="E17" i="14"/>
  <c r="F17" i="14"/>
  <c r="D17" i="14"/>
  <c r="C17" i="14"/>
  <c r="B17" i="14"/>
  <c r="B18" i="14" s="1"/>
  <c r="AM17" i="14"/>
  <c r="AM18" i="14" s="1"/>
  <c r="AL17" i="14"/>
  <c r="AL18" i="14" s="1"/>
  <c r="AK17" i="14"/>
  <c r="AK18" i="14" s="1"/>
  <c r="AJ17" i="14"/>
  <c r="AJ18" i="14" s="1"/>
  <c r="AI17" i="14"/>
  <c r="AH17" i="14"/>
  <c r="AG17" i="14"/>
  <c r="AF17" i="14"/>
  <c r="AE17" i="14"/>
  <c r="AD17" i="14"/>
  <c r="AC17" i="14"/>
  <c r="AB17" i="14"/>
  <c r="AA17" i="14"/>
  <c r="Z17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D17" i="23"/>
  <c r="O166" i="18"/>
  <c r="E12" i="14"/>
  <c r="C18" i="17" s="1"/>
  <c r="E3" i="14"/>
  <c r="C9" i="17" s="1"/>
  <c r="O491" i="18"/>
  <c r="O490" i="18"/>
  <c r="O489" i="18"/>
  <c r="O488" i="18"/>
  <c r="O485" i="18"/>
  <c r="O484" i="18"/>
  <c r="O480" i="18"/>
  <c r="O479" i="18"/>
  <c r="O476" i="18"/>
  <c r="O474" i="18"/>
  <c r="O473" i="18"/>
  <c r="O471" i="18"/>
  <c r="O470" i="18"/>
  <c r="O465" i="18"/>
  <c r="O463" i="18"/>
  <c r="O461" i="18"/>
  <c r="O462" i="18"/>
  <c r="O460" i="18"/>
  <c r="O458" i="18"/>
  <c r="O457" i="18"/>
  <c r="O455" i="18"/>
  <c r="O454" i="18"/>
  <c r="O449" i="18"/>
  <c r="O448" i="18"/>
  <c r="O447" i="18"/>
  <c r="O446" i="18"/>
  <c r="O445" i="18"/>
  <c r="O444" i="18"/>
  <c r="O443" i="18"/>
  <c r="O442" i="18"/>
  <c r="O441" i="18"/>
  <c r="O440" i="18"/>
  <c r="O439" i="18"/>
  <c r="O437" i="18"/>
  <c r="O438" i="18"/>
  <c r="O436" i="18"/>
  <c r="O435" i="18"/>
  <c r="O434" i="18"/>
  <c r="O431" i="18"/>
  <c r="O430" i="18"/>
  <c r="O429" i="18"/>
  <c r="O428" i="18"/>
  <c r="O427" i="18"/>
  <c r="O426" i="18"/>
  <c r="O425" i="18"/>
  <c r="O424" i="18"/>
  <c r="O423" i="18"/>
  <c r="O421" i="18"/>
  <c r="O420" i="18"/>
  <c r="O419" i="18"/>
  <c r="O418" i="18"/>
  <c r="O417" i="18"/>
  <c r="O416" i="18"/>
  <c r="O414" i="18"/>
  <c r="O412" i="18"/>
  <c r="O411" i="18"/>
  <c r="O410" i="18"/>
  <c r="O409" i="18"/>
  <c r="O407" i="18"/>
  <c r="O406" i="18"/>
  <c r="O403" i="18"/>
  <c r="O401" i="18"/>
  <c r="O400" i="18"/>
  <c r="O398" i="18"/>
  <c r="O395" i="18"/>
  <c r="O394" i="18"/>
  <c r="O393" i="18"/>
  <c r="O391" i="18"/>
  <c r="O390" i="18"/>
  <c r="O388" i="18"/>
  <c r="O387" i="18"/>
  <c r="O386" i="18"/>
  <c r="O385" i="18"/>
  <c r="O381" i="18"/>
  <c r="O380" i="18"/>
  <c r="O377" i="18"/>
  <c r="O376" i="18"/>
  <c r="O374" i="18"/>
  <c r="O373" i="18"/>
  <c r="O372" i="18"/>
  <c r="O371" i="18"/>
  <c r="O370" i="18"/>
  <c r="O367" i="18"/>
  <c r="O365" i="18"/>
  <c r="O363" i="18"/>
  <c r="O362" i="18"/>
  <c r="O361" i="18"/>
  <c r="O358" i="18"/>
  <c r="O356" i="18"/>
  <c r="O353" i="18"/>
  <c r="O352" i="18"/>
  <c r="O351" i="18"/>
  <c r="O349" i="18"/>
  <c r="O348" i="18"/>
  <c r="O347" i="18"/>
  <c r="O346" i="18"/>
  <c r="O345" i="18"/>
  <c r="O343" i="18"/>
  <c r="O342" i="18"/>
  <c r="O340" i="18"/>
  <c r="O339" i="18"/>
  <c r="O338" i="18"/>
  <c r="O337" i="18"/>
  <c r="O331" i="18"/>
  <c r="O330" i="18"/>
  <c r="O326" i="18"/>
  <c r="O320" i="18"/>
  <c r="O319" i="18"/>
  <c r="O316" i="18"/>
  <c r="O314" i="18"/>
  <c r="O313" i="18"/>
  <c r="O312" i="18"/>
  <c r="O310" i="18"/>
  <c r="O306" i="18"/>
  <c r="O305" i="18"/>
  <c r="O299" i="18"/>
  <c r="O298" i="18"/>
  <c r="O297" i="18"/>
  <c r="O296" i="18"/>
  <c r="O293" i="18"/>
  <c r="O292" i="18"/>
  <c r="O288" i="18"/>
  <c r="O287" i="18"/>
  <c r="O286" i="18"/>
  <c r="O285" i="18"/>
  <c r="O284" i="18"/>
  <c r="O283" i="18"/>
  <c r="O282" i="18"/>
  <c r="O280" i="18"/>
  <c r="O279" i="18"/>
  <c r="O278" i="18"/>
  <c r="O277" i="18"/>
  <c r="O276" i="18"/>
  <c r="O275" i="18"/>
  <c r="O273" i="18"/>
  <c r="O272" i="18"/>
  <c r="O271" i="18"/>
  <c r="O270" i="18"/>
  <c r="O268" i="18"/>
  <c r="O265" i="18"/>
  <c r="O264" i="18"/>
  <c r="O263" i="18"/>
  <c r="O261" i="18"/>
  <c r="O260" i="18"/>
  <c r="O259" i="18"/>
  <c r="O255" i="18"/>
  <c r="O254" i="18"/>
  <c r="O252" i="18"/>
  <c r="O250" i="18"/>
  <c r="O251" i="18"/>
  <c r="O249" i="18"/>
  <c r="O248" i="18"/>
  <c r="O246" i="18"/>
  <c r="O245" i="18"/>
  <c r="O244" i="18"/>
  <c r="O242" i="18"/>
  <c r="O238" i="18"/>
  <c r="O236" i="18"/>
  <c r="O235" i="18"/>
  <c r="O234" i="18"/>
  <c r="O233" i="18"/>
  <c r="O231" i="18"/>
  <c r="O230" i="18"/>
  <c r="O229" i="18"/>
  <c r="O227" i="18"/>
  <c r="O226" i="18"/>
  <c r="O222" i="18"/>
  <c r="O218" i="18"/>
  <c r="O217" i="18"/>
  <c r="O215" i="18"/>
  <c r="O213" i="18"/>
  <c r="O212" i="18"/>
  <c r="O211" i="18"/>
  <c r="O210" i="18"/>
  <c r="O207" i="18"/>
  <c r="O206" i="18"/>
  <c r="O203" i="18"/>
  <c r="O200" i="18"/>
  <c r="O199" i="18"/>
  <c r="O198" i="18"/>
  <c r="O196" i="18"/>
  <c r="O194" i="18"/>
  <c r="O193" i="18"/>
  <c r="O191" i="18"/>
  <c r="O190" i="18"/>
  <c r="O189" i="18"/>
  <c r="O187" i="18"/>
  <c r="O186" i="18"/>
  <c r="O185" i="18"/>
  <c r="O184" i="18"/>
  <c r="O182" i="18"/>
  <c r="O181" i="18"/>
  <c r="O179" i="18"/>
  <c r="O178" i="18"/>
  <c r="O177" i="18"/>
  <c r="O176" i="18"/>
  <c r="O175" i="18"/>
  <c r="O174" i="18"/>
  <c r="O172" i="18"/>
  <c r="O171" i="18"/>
  <c r="O169" i="18"/>
  <c r="O167" i="18"/>
  <c r="O165" i="18"/>
  <c r="O164" i="18"/>
  <c r="O163" i="18"/>
  <c r="O162" i="18"/>
  <c r="O160" i="18"/>
  <c r="O158" i="18"/>
  <c r="O157" i="18"/>
  <c r="O155" i="18"/>
  <c r="O153" i="18"/>
  <c r="O152" i="18"/>
  <c r="O151" i="18"/>
  <c r="O150" i="18"/>
  <c r="O148" i="18"/>
  <c r="O147" i="18"/>
  <c r="O146" i="18"/>
  <c r="O145" i="18"/>
  <c r="O143" i="18"/>
  <c r="O142" i="18"/>
  <c r="O141" i="18"/>
  <c r="O137" i="18"/>
  <c r="O136" i="18"/>
  <c r="O133" i="18"/>
  <c r="O132" i="18"/>
  <c r="O131" i="18"/>
  <c r="O127" i="18"/>
  <c r="O125" i="18"/>
  <c r="O124" i="18"/>
  <c r="O123" i="18"/>
  <c r="O122" i="18"/>
  <c r="O121" i="18"/>
  <c r="O119" i="18"/>
  <c r="O118" i="18"/>
  <c r="O115" i="18"/>
  <c r="O114" i="18"/>
  <c r="O113" i="18"/>
  <c r="O112" i="18"/>
  <c r="O111" i="18"/>
  <c r="O110" i="18"/>
  <c r="O103" i="18"/>
  <c r="O102" i="18"/>
  <c r="O99" i="18"/>
  <c r="O98" i="18"/>
  <c r="O96" i="18"/>
  <c r="O95" i="18"/>
  <c r="O93" i="18"/>
  <c r="O92" i="18"/>
  <c r="O91" i="18"/>
  <c r="O90" i="18"/>
  <c r="O89" i="18"/>
  <c r="O88" i="18"/>
  <c r="O87" i="18"/>
  <c r="O85" i="18"/>
  <c r="O82" i="18"/>
  <c r="O81" i="18"/>
  <c r="O79" i="18"/>
  <c r="O78" i="18"/>
  <c r="O76" i="18"/>
  <c r="O74" i="18"/>
  <c r="O73" i="18"/>
  <c r="O72" i="18"/>
  <c r="O71" i="18"/>
  <c r="O69" i="18"/>
  <c r="O68" i="18"/>
  <c r="O66" i="18"/>
  <c r="O65" i="18"/>
  <c r="O64" i="18"/>
  <c r="O63" i="18"/>
  <c r="O62" i="18"/>
  <c r="O60" i="18"/>
  <c r="O59" i="18"/>
  <c r="O58" i="18"/>
  <c r="O57" i="18"/>
  <c r="O55" i="18"/>
  <c r="O54" i="18"/>
  <c r="O53" i="18"/>
  <c r="O52" i="18"/>
  <c r="O51" i="18"/>
  <c r="O49" i="18"/>
  <c r="O45" i="18"/>
  <c r="O44" i="18"/>
  <c r="O43" i="18"/>
  <c r="O41" i="18"/>
  <c r="O40" i="18"/>
  <c r="O39" i="18"/>
  <c r="O36" i="18"/>
  <c r="O35" i="18"/>
  <c r="O34" i="18"/>
  <c r="O32" i="18"/>
  <c r="O30" i="18"/>
  <c r="O27" i="18"/>
  <c r="O26" i="18"/>
  <c r="O23" i="18"/>
  <c r="O22" i="18"/>
  <c r="O19" i="18"/>
  <c r="O17" i="18"/>
  <c r="O16" i="18"/>
  <c r="O15" i="18"/>
  <c r="O14" i="18"/>
  <c r="O13" i="18"/>
  <c r="O11" i="18"/>
  <c r="O10" i="18"/>
  <c r="O9" i="18"/>
  <c r="O8" i="18"/>
  <c r="O7" i="18"/>
  <c r="O5" i="18"/>
  <c r="O2" i="18"/>
  <c r="O540" i="18"/>
  <c r="O534" i="18"/>
  <c r="O531" i="18"/>
  <c r="O530" i="18"/>
  <c r="O526" i="18"/>
  <c r="O523" i="18"/>
  <c r="O517" i="18"/>
  <c r="O516" i="18"/>
  <c r="O509" i="18"/>
  <c r="O507" i="18"/>
  <c r="O505" i="18"/>
  <c r="O487" i="18"/>
  <c r="O486" i="18"/>
  <c r="O483" i="18"/>
  <c r="O481" i="18"/>
  <c r="O477" i="18"/>
  <c r="O475" i="18"/>
  <c r="O472" i="18"/>
  <c r="O469" i="18"/>
  <c r="O468" i="18"/>
  <c r="O466" i="18"/>
  <c r="O464" i="18"/>
  <c r="O456" i="18"/>
  <c r="O453" i="18"/>
  <c r="O452" i="18"/>
  <c r="O451" i="18"/>
  <c r="O432" i="18"/>
  <c r="O422" i="18"/>
  <c r="O413" i="18"/>
  <c r="O405" i="18"/>
  <c r="O404" i="18"/>
  <c r="O402" i="18"/>
  <c r="O399" i="18"/>
  <c r="O397" i="18"/>
  <c r="O396" i="18"/>
  <c r="O392" i="18"/>
  <c r="O389" i="18"/>
  <c r="O383" i="18"/>
  <c r="O382" i="18"/>
  <c r="O379" i="18"/>
  <c r="O378" i="18"/>
  <c r="O368" i="18"/>
  <c r="O366" i="18"/>
  <c r="O364" i="18"/>
  <c r="O360" i="18"/>
  <c r="O359" i="18"/>
  <c r="O357" i="18"/>
  <c r="O355" i="18"/>
  <c r="O350" i="18"/>
  <c r="O344" i="18"/>
  <c r="O341" i="18"/>
  <c r="O336" i="18"/>
  <c r="O334" i="18"/>
  <c r="O333" i="18"/>
  <c r="O332" i="18"/>
  <c r="O329" i="18"/>
  <c r="O327" i="18"/>
  <c r="O325" i="18"/>
  <c r="O324" i="18"/>
  <c r="O323" i="18"/>
  <c r="O322" i="18"/>
  <c r="O321" i="18"/>
  <c r="O318" i="18"/>
  <c r="O317" i="18"/>
  <c r="O315" i="18"/>
  <c r="O311" i="18"/>
  <c r="O309" i="18"/>
  <c r="O308" i="18"/>
  <c r="O307" i="18"/>
  <c r="O301" i="18"/>
  <c r="O300" i="18"/>
  <c r="O295" i="18"/>
  <c r="O294" i="18"/>
  <c r="O291" i="18"/>
  <c r="O290" i="18"/>
  <c r="O289" i="18"/>
  <c r="O274" i="18"/>
  <c r="O269" i="18"/>
  <c r="O258" i="18"/>
  <c r="O257" i="18"/>
  <c r="O256" i="18"/>
  <c r="O253" i="18"/>
  <c r="O247" i="18"/>
  <c r="O243" i="18"/>
  <c r="O237" i="18"/>
  <c r="O224" i="18"/>
  <c r="O221" i="18"/>
  <c r="O220" i="18"/>
  <c r="O219" i="18"/>
  <c r="O209" i="18"/>
  <c r="O205" i="18"/>
  <c r="O202" i="18"/>
  <c r="O197" i="18"/>
  <c r="O195" i="18"/>
  <c r="O192" i="18"/>
  <c r="O188" i="18"/>
  <c r="O173" i="18"/>
  <c r="O170" i="18"/>
  <c r="O168" i="18"/>
  <c r="O161" i="18"/>
  <c r="O159" i="18"/>
  <c r="O156" i="18"/>
  <c r="O149" i="18"/>
  <c r="O144" i="18"/>
  <c r="O140" i="18"/>
  <c r="O139" i="18"/>
  <c r="O138" i="18"/>
  <c r="O135" i="18"/>
  <c r="O134" i="18"/>
  <c r="O130" i="18"/>
  <c r="O129" i="18"/>
  <c r="O128" i="18"/>
  <c r="O120" i="18"/>
  <c r="O117" i="18"/>
  <c r="O116" i="18"/>
  <c r="O109" i="18"/>
  <c r="O108" i="18"/>
  <c r="O106" i="18"/>
  <c r="O105" i="18"/>
  <c r="O104" i="18"/>
  <c r="O101" i="18"/>
  <c r="O100" i="18"/>
  <c r="O97" i="18"/>
  <c r="O94" i="18"/>
  <c r="O86" i="18"/>
  <c r="O84" i="18"/>
  <c r="O83" i="18"/>
  <c r="O80" i="18"/>
  <c r="O77" i="18"/>
  <c r="O70" i="18"/>
  <c r="O67" i="18"/>
  <c r="O61" i="18"/>
  <c r="O50" i="18"/>
  <c r="O48" i="18"/>
  <c r="O47" i="18"/>
  <c r="O42" i="18"/>
  <c r="O38" i="18"/>
  <c r="O37" i="18"/>
  <c r="O28" i="18"/>
  <c r="O20" i="18"/>
  <c r="O18" i="18"/>
  <c r="O4" i="18"/>
  <c r="O533" i="18"/>
  <c r="O525" i="18"/>
  <c r="O518" i="18"/>
  <c r="O482" i="18"/>
  <c r="O478" i="18"/>
  <c r="O459" i="18"/>
  <c r="O433" i="18"/>
  <c r="O408" i="18"/>
  <c r="O384" i="18"/>
  <c r="O375" i="18"/>
  <c r="O369" i="18"/>
  <c r="O354" i="18"/>
  <c r="O335" i="18"/>
  <c r="O328" i="18"/>
  <c r="O304" i="18"/>
  <c r="O303" i="18"/>
  <c r="O302" i="18"/>
  <c r="O281" i="18"/>
  <c r="O267" i="18"/>
  <c r="O262" i="18"/>
  <c r="O241" i="18"/>
  <c r="O239" i="18"/>
  <c r="O232" i="18"/>
  <c r="O228" i="18"/>
  <c r="O225" i="18"/>
  <c r="O223" i="18"/>
  <c r="O216" i="18"/>
  <c r="O214" i="18"/>
  <c r="O208" i="18"/>
  <c r="O204" i="18"/>
  <c r="O201" i="18"/>
  <c r="O183" i="18"/>
  <c r="O180" i="18"/>
  <c r="O154" i="18"/>
  <c r="O126" i="18"/>
  <c r="O107" i="18"/>
  <c r="O75" i="18"/>
  <c r="O46" i="18"/>
  <c r="O31" i="18"/>
  <c r="O25" i="18"/>
  <c r="O6" i="18"/>
  <c r="O3" i="18"/>
  <c r="O467" i="18"/>
  <c r="O450" i="18"/>
  <c r="O266" i="18"/>
  <c r="O240" i="18"/>
  <c r="O56" i="18"/>
  <c r="O21" i="18"/>
  <c r="O12" i="18"/>
  <c r="K20" i="14" l="1"/>
  <c r="K18" i="14"/>
  <c r="S20" i="14"/>
  <c r="S18" i="14"/>
  <c r="Z4" i="17" s="1"/>
  <c r="AA20" i="14"/>
  <c r="AA18" i="14"/>
  <c r="H20" i="14"/>
  <c r="H18" i="14"/>
  <c r="P20" i="14"/>
  <c r="P18" i="14"/>
  <c r="X20" i="14"/>
  <c r="X18" i="14"/>
  <c r="AE4" i="17" s="1"/>
  <c r="AF20" i="14"/>
  <c r="AF18" i="14"/>
  <c r="I20" i="14"/>
  <c r="I18" i="14"/>
  <c r="P4" i="17" s="1"/>
  <c r="Q20" i="14"/>
  <c r="Q18" i="14"/>
  <c r="U20" i="14"/>
  <c r="U18" i="14"/>
  <c r="AB4" i="17" s="1"/>
  <c r="Y20" i="14"/>
  <c r="Y18" i="14"/>
  <c r="AC20" i="14"/>
  <c r="AC18" i="14"/>
  <c r="AJ4" i="17" s="1"/>
  <c r="AG20" i="14"/>
  <c r="AG18" i="14"/>
  <c r="C20" i="14"/>
  <c r="C18" i="14"/>
  <c r="J4" i="17" s="1"/>
  <c r="G20" i="14"/>
  <c r="G18" i="14"/>
  <c r="O20" i="14"/>
  <c r="O18" i="14"/>
  <c r="V4" i="17" s="1"/>
  <c r="W20" i="14"/>
  <c r="W18" i="14"/>
  <c r="AE20" i="14"/>
  <c r="AE18" i="14"/>
  <c r="AI20" i="14"/>
  <c r="AI18" i="14"/>
  <c r="F20" i="14"/>
  <c r="F18" i="14"/>
  <c r="M4" i="17" s="1"/>
  <c r="L20" i="14"/>
  <c r="L18" i="14"/>
  <c r="T20" i="14"/>
  <c r="T18" i="14"/>
  <c r="AA4" i="17" s="1"/>
  <c r="AB20" i="14"/>
  <c r="AB18" i="14"/>
  <c r="AI4" i="17" s="1"/>
  <c r="E20" i="14"/>
  <c r="E18" i="14"/>
  <c r="L4" i="17" s="1"/>
  <c r="M20" i="14"/>
  <c r="M18" i="14"/>
  <c r="T4" i="17" s="1"/>
  <c r="J20" i="14"/>
  <c r="J18" i="14"/>
  <c r="Q4" i="17" s="1"/>
  <c r="N20" i="14"/>
  <c r="N18" i="14"/>
  <c r="R20" i="14"/>
  <c r="R18" i="14"/>
  <c r="Y4" i="17" s="1"/>
  <c r="V20" i="14"/>
  <c r="V18" i="14"/>
  <c r="Z20" i="14"/>
  <c r="Z18" i="14"/>
  <c r="AG4" i="17" s="1"/>
  <c r="AD20" i="14"/>
  <c r="AD18" i="14"/>
  <c r="AK4" i="17" s="1"/>
  <c r="AH20" i="14"/>
  <c r="AH18" i="14"/>
  <c r="AO4" i="17" s="1"/>
  <c r="D20" i="14"/>
  <c r="D18" i="14"/>
  <c r="K4" i="17" s="1"/>
  <c r="AM20" i="14"/>
  <c r="AK20" i="14"/>
  <c r="AJ20" i="14"/>
  <c r="AL20" i="14"/>
  <c r="B20" i="14"/>
  <c r="R4" i="17"/>
  <c r="R3" i="17"/>
  <c r="AD4" i="17"/>
  <c r="AD3" i="17"/>
  <c r="AL4" i="17"/>
  <c r="AL3" i="17"/>
  <c r="AP4" i="17"/>
  <c r="AP3" i="17"/>
  <c r="O4" i="17"/>
  <c r="O3" i="17"/>
  <c r="S4" i="17"/>
  <c r="S3" i="17"/>
  <c r="W4" i="17"/>
  <c r="W3" i="17"/>
  <c r="AA3" i="17"/>
  <c r="AE3" i="17"/>
  <c r="AI3" i="17"/>
  <c r="AM4" i="17"/>
  <c r="AM3" i="17"/>
  <c r="L3" i="17"/>
  <c r="V3" i="17"/>
  <c r="P3" i="17"/>
  <c r="T3" i="17"/>
  <c r="X4" i="17"/>
  <c r="X3" i="17"/>
  <c r="AB3" i="17"/>
  <c r="AF4" i="17"/>
  <c r="AF3" i="17"/>
  <c r="AJ3" i="17"/>
  <c r="AN4" i="17"/>
  <c r="AN3" i="17"/>
  <c r="J3" i="17"/>
  <c r="N4" i="17"/>
  <c r="N3" i="17"/>
  <c r="Z3" i="17"/>
  <c r="AH4" i="17"/>
  <c r="AH3" i="17"/>
  <c r="M3" i="17"/>
  <c r="Q3" i="17"/>
  <c r="U4" i="17"/>
  <c r="U3" i="17"/>
  <c r="Y3" i="17"/>
  <c r="AC4" i="17"/>
  <c r="AC3" i="17"/>
  <c r="AG3" i="17"/>
  <c r="AK3" i="17"/>
  <c r="AO3" i="17"/>
  <c r="K3" i="17"/>
  <c r="I4" i="17"/>
  <c r="I3" i="17"/>
  <c r="Q10" i="14"/>
  <c r="E18" i="17" l="1"/>
  <c r="B35" i="17" l="1"/>
</calcChain>
</file>

<file path=xl/sharedStrings.xml><?xml version="1.0" encoding="utf-8"?>
<sst xmlns="http://schemas.openxmlformats.org/spreadsheetml/2006/main" count="4211" uniqueCount="1640">
  <si>
    <t>Equipe</t>
  </si>
  <si>
    <t>BUS</t>
  </si>
  <si>
    <t>Ki</t>
  </si>
  <si>
    <t xml:space="preserve">BUS </t>
  </si>
  <si>
    <t>Nj</t>
  </si>
  <si>
    <t>Cj</t>
  </si>
  <si>
    <t>Fj</t>
  </si>
  <si>
    <t>C1</t>
  </si>
  <si>
    <t>N° Etu</t>
  </si>
  <si>
    <t>Prénom</t>
  </si>
  <si>
    <t>Nom</t>
  </si>
  <si>
    <t>Mail</t>
  </si>
  <si>
    <t>Phone</t>
  </si>
  <si>
    <t>Nouveaux</t>
  </si>
  <si>
    <t>CE (Site)</t>
  </si>
  <si>
    <t>N° Equipe</t>
  </si>
  <si>
    <t>Orga</t>
  </si>
  <si>
    <t>Mission</t>
  </si>
  <si>
    <t>Etapes</t>
  </si>
  <si>
    <t>Placer les informations dans la feuille export</t>
  </si>
  <si>
    <t>Sur Export, Placer a la main les orga/CE dans les bus (0 pour trajet voiture)</t>
  </si>
  <si>
    <t>BUS (Manuel)</t>
  </si>
  <si>
    <t>Capacité BUS (A remplir)</t>
  </si>
  <si>
    <t>Sur Données, rentrer la capacité des bus</t>
  </si>
  <si>
    <t>Nom Respo</t>
  </si>
  <si>
    <t>Nombre Orga / Bénévole / CE Libre</t>
  </si>
  <si>
    <t>Equipes</t>
  </si>
  <si>
    <t>Sur Données, indiquer la faction de chaque équipe</t>
  </si>
  <si>
    <t>Respo (Manuel)</t>
  </si>
  <si>
    <t>Concat respo</t>
  </si>
  <si>
    <t>Concat NP</t>
  </si>
  <si>
    <t>Cliquer sur le bouton en haut a gauche de la page solveur</t>
  </si>
  <si>
    <t>lancer le solveur</t>
  </si>
  <si>
    <t>Bouton en bas a gauche de la page solveur</t>
  </si>
  <si>
    <t>Bouton de la feuille synthèse</t>
  </si>
  <si>
    <t>Cj (nombre de CE dans une équipe)</t>
  </si>
  <si>
    <t>Nj (nombre de personnes dans une équipe)</t>
  </si>
  <si>
    <t>Fj (Faction)</t>
  </si>
  <si>
    <t>Nb équipes</t>
  </si>
  <si>
    <t>Nb bus</t>
  </si>
  <si>
    <t>nora.auvray@utt.fr</t>
  </si>
  <si>
    <t>0680449687</t>
  </si>
  <si>
    <t>Déco</t>
  </si>
  <si>
    <t/>
  </si>
  <si>
    <t>marine.barbaux@utt.fr</t>
  </si>
  <si>
    <t>0781553113</t>
  </si>
  <si>
    <t>Arthur</t>
  </si>
  <si>
    <t>arthur.bidet@utt.fr</t>
  </si>
  <si>
    <t>0782904406</t>
  </si>
  <si>
    <t>Partenariat, Aprem Chill</t>
  </si>
  <si>
    <t>Julien</t>
  </si>
  <si>
    <t>julien.goron@utt.fr</t>
  </si>
  <si>
    <t>0652398773</t>
  </si>
  <si>
    <t>S&amp;L</t>
  </si>
  <si>
    <t>manon.hamel@utt.fr</t>
  </si>
  <si>
    <t>0782305041</t>
  </si>
  <si>
    <t>Prévention</t>
  </si>
  <si>
    <t>adrien.raviart@utt.fr</t>
  </si>
  <si>
    <t>0768350398</t>
  </si>
  <si>
    <t>Juliette</t>
  </si>
  <si>
    <t>juliette.romanet@utt.fr</t>
  </si>
  <si>
    <t>0782413830</t>
  </si>
  <si>
    <t>Partenariat</t>
  </si>
  <si>
    <t>lucie.abi_chaaya@utt.fr</t>
  </si>
  <si>
    <t>0652878433</t>
  </si>
  <si>
    <t>mariem.aliouat@utt.fr</t>
  </si>
  <si>
    <t>0783546608</t>
  </si>
  <si>
    <t>Village Asso</t>
  </si>
  <si>
    <t>eloi.bauchaire@utt.fr</t>
  </si>
  <si>
    <t>0768789086</t>
  </si>
  <si>
    <t>Médiatique</t>
  </si>
  <si>
    <t>quentin.beal@utt.fr</t>
  </si>
  <si>
    <t>0622472861</t>
  </si>
  <si>
    <t>Média</t>
  </si>
  <si>
    <t>eve.bernhard@utt.fr</t>
  </si>
  <si>
    <t>0769252442</t>
  </si>
  <si>
    <t>Salon de la Vie Etudiante</t>
  </si>
  <si>
    <t>agathe.bouchard@utt.fr</t>
  </si>
  <si>
    <t>0643555163</t>
  </si>
  <si>
    <t>Parrainage</t>
  </si>
  <si>
    <t>chauveaujules@gmail.com</t>
  </si>
  <si>
    <t>0667643968</t>
  </si>
  <si>
    <t>Logistique</t>
  </si>
  <si>
    <t>charlotte.colin@utt.fr</t>
  </si>
  <si>
    <t>0643639092</t>
  </si>
  <si>
    <t>bertille.defourny@utt.fr</t>
  </si>
  <si>
    <t>+33766589987</t>
  </si>
  <si>
    <t>Médiatik</t>
  </si>
  <si>
    <t>Arnaud</t>
  </si>
  <si>
    <t>Dufour</t>
  </si>
  <si>
    <t>Vieux</t>
  </si>
  <si>
    <t>thibaut.dumonet@utt.fr</t>
  </si>
  <si>
    <t>0781850807</t>
  </si>
  <si>
    <t>nicolas.felixine@utt.fr</t>
  </si>
  <si>
    <t>0686494912</t>
  </si>
  <si>
    <t>Game of Fondation</t>
  </si>
  <si>
    <t>thomas.ferreira1@utt.fr</t>
  </si>
  <si>
    <t>0781946607</t>
  </si>
  <si>
    <t>Communication &amp; Graphisme</t>
  </si>
  <si>
    <t>lionel.fotsing@utt.fr</t>
  </si>
  <si>
    <t>0745655527</t>
  </si>
  <si>
    <t>agathe.frode_de_la_foret@utt.fr</t>
  </si>
  <si>
    <t>0614051141</t>
  </si>
  <si>
    <t>iris.gagniere@utt.fr</t>
  </si>
  <si>
    <t>+33767562310</t>
  </si>
  <si>
    <t>Gaudin</t>
  </si>
  <si>
    <t>Animation</t>
  </si>
  <si>
    <t>maelie.gaveau@utt.fr</t>
  </si>
  <si>
    <t>0695217808</t>
  </si>
  <si>
    <t>Soirée d'intégration</t>
  </si>
  <si>
    <t>roland.gervais@utt.fr</t>
  </si>
  <si>
    <t>0767700411</t>
  </si>
  <si>
    <t>theo.girardin@utt.fr</t>
  </si>
  <si>
    <t>0647014076</t>
  </si>
  <si>
    <t>arnaud.gorce@utt.fr</t>
  </si>
  <si>
    <t>0674558884</t>
  </si>
  <si>
    <t>Dev</t>
  </si>
  <si>
    <t>Lucas</t>
  </si>
  <si>
    <t>Coordinateur</t>
  </si>
  <si>
    <t>simon.guyot@utt.fr</t>
  </si>
  <si>
    <t>0769530280</t>
  </si>
  <si>
    <t>GUBU</t>
  </si>
  <si>
    <t>noemie.hammann@utt.fr</t>
  </si>
  <si>
    <t>0786510097</t>
  </si>
  <si>
    <t>Respo CE</t>
  </si>
  <si>
    <t>emma.hillion@utt.fr</t>
  </si>
  <si>
    <t>0781865232</t>
  </si>
  <si>
    <t>Défis TC</t>
  </si>
  <si>
    <t>mael.javer_kala@utt.fr</t>
  </si>
  <si>
    <t>0612845691</t>
  </si>
  <si>
    <t>emma.jeffard@utt.fr</t>
  </si>
  <si>
    <t>0783840065</t>
  </si>
  <si>
    <t>maxime.jesu@utt.fr</t>
  </si>
  <si>
    <t>0641607042</t>
  </si>
  <si>
    <t>mathieu.lamet@utt.fr</t>
  </si>
  <si>
    <t>0652718553</t>
  </si>
  <si>
    <t>lena.le_goff@utt.fr</t>
  </si>
  <si>
    <t>0778155968</t>
  </si>
  <si>
    <t>Traduction en anglais</t>
  </si>
  <si>
    <t>maxime.letoffet@utt.fr</t>
  </si>
  <si>
    <t>0782141789</t>
  </si>
  <si>
    <t>philippine.marichez@utt.fr</t>
  </si>
  <si>
    <t>+33781748789</t>
  </si>
  <si>
    <t>Cahier de vacances</t>
  </si>
  <si>
    <t>marcelline.mathe@utt.fr</t>
  </si>
  <si>
    <t xml:space="preserve">0769451755 </t>
  </si>
  <si>
    <t>camille.moussou@utt.fr</t>
  </si>
  <si>
    <t>0603701823</t>
  </si>
  <si>
    <t>valentin.peltier@utt.fr</t>
  </si>
  <si>
    <t>06 73 04 05 26</t>
  </si>
  <si>
    <t>roman.robin@utt.fr</t>
  </si>
  <si>
    <t>0767843220</t>
  </si>
  <si>
    <t>loan.saver@utt.fr</t>
  </si>
  <si>
    <t>0695290767</t>
  </si>
  <si>
    <t>antoine.schneider@utt.fr</t>
  </si>
  <si>
    <t>+33786819808</t>
  </si>
  <si>
    <t>elisa.vassal@utt.fr</t>
  </si>
  <si>
    <t>0681965625</t>
  </si>
  <si>
    <t>Rallye</t>
  </si>
  <si>
    <t>camille.vesiez@utt.fr</t>
  </si>
  <si>
    <t>07 83 94 80 87</t>
  </si>
  <si>
    <t>Respo Nouveaux/bénévoles</t>
  </si>
  <si>
    <t>elijah.wane@utt.fr</t>
  </si>
  <si>
    <t>0659109956</t>
  </si>
  <si>
    <t>mateo.adam@utt.fr</t>
  </si>
  <si>
    <t>0784069714</t>
  </si>
  <si>
    <t>corentin.balay@utt.fr</t>
  </si>
  <si>
    <t>0628423520</t>
  </si>
  <si>
    <t>matthieubalikdjian@gmail.com</t>
  </si>
  <si>
    <t>0651102283</t>
  </si>
  <si>
    <t>julian.basset@utt.fr</t>
  </si>
  <si>
    <t>0782842207</t>
  </si>
  <si>
    <t>sebastien.bay@utt.fr</t>
  </si>
  <si>
    <t>0788835802</t>
  </si>
  <si>
    <t>vianney.bayart@utt.fr</t>
  </si>
  <si>
    <t>0782079028</t>
  </si>
  <si>
    <t>yolann.belkacem@utt.fr</t>
  </si>
  <si>
    <t>0683336145</t>
  </si>
  <si>
    <t>jade.benihoud@utt.fr</t>
  </si>
  <si>
    <t>0783636095</t>
  </si>
  <si>
    <t>leo.bermond@utt.fr</t>
  </si>
  <si>
    <t>0685380749</t>
  </si>
  <si>
    <t>baptiste.berthonaud@utt.fr</t>
  </si>
  <si>
    <t>0650142641</t>
  </si>
  <si>
    <t>auguste.bertin@utt.fr</t>
  </si>
  <si>
    <t>0695111026</t>
  </si>
  <si>
    <t>hugo.bertoux@utt.fr</t>
  </si>
  <si>
    <t>0783597616</t>
  </si>
  <si>
    <t>Paul</t>
  </si>
  <si>
    <t>paul.blom@utt.fr</t>
  </si>
  <si>
    <t>0768309070</t>
  </si>
  <si>
    <t>maelys.boiteau@utt.fr</t>
  </si>
  <si>
    <t>0777780912</t>
  </si>
  <si>
    <t>Alice</t>
  </si>
  <si>
    <t>alice.bonnet@utt.fr</t>
  </si>
  <si>
    <t>0768509671</t>
  </si>
  <si>
    <t>naomie.boulery@utt.fr</t>
  </si>
  <si>
    <t>0650234917</t>
  </si>
  <si>
    <t>achille.bourgain@utt.fr</t>
  </si>
  <si>
    <t>0783070820</t>
  </si>
  <si>
    <t>maxime.bousso@utt.fr</t>
  </si>
  <si>
    <t>0783230384</t>
  </si>
  <si>
    <t>chloe.bouteville@utt.fr</t>
  </si>
  <si>
    <t>0766110988</t>
  </si>
  <si>
    <t>mathilde.bras@utt.fr</t>
  </si>
  <si>
    <t>0781604301</t>
  </si>
  <si>
    <t>Thomas</t>
  </si>
  <si>
    <t>thomas.caillet@utt.fr</t>
  </si>
  <si>
    <t>0642429780</t>
  </si>
  <si>
    <t>caronlea76@gmail.com</t>
  </si>
  <si>
    <t>0659059673</t>
  </si>
  <si>
    <t>julien.cesari@utt.fr</t>
  </si>
  <si>
    <t>078257427</t>
  </si>
  <si>
    <t>elora.chalony@utt.fr</t>
  </si>
  <si>
    <t>0767035600</t>
  </si>
  <si>
    <t>thomas.charlot@utt.fr</t>
  </si>
  <si>
    <t>0781157363</t>
  </si>
  <si>
    <t>adrien.chartoire@utt.fr</t>
  </si>
  <si>
    <t>0767772631</t>
  </si>
  <si>
    <t>jchatba@gmail.com</t>
  </si>
  <si>
    <t>0783466272</t>
  </si>
  <si>
    <t>Jeanne</t>
  </si>
  <si>
    <t>jeanne.chauvel@utt.fr</t>
  </si>
  <si>
    <t>0783057102</t>
  </si>
  <si>
    <t>thomas.chazal@utt.fr</t>
  </si>
  <si>
    <t>0783395226</t>
  </si>
  <si>
    <t>mael.cheynet@utt.fr</t>
  </si>
  <si>
    <t>0766426566</t>
  </si>
  <si>
    <t>Matthieu</t>
  </si>
  <si>
    <t>matthieu.chivas@utt.fr</t>
  </si>
  <si>
    <t>0785841718</t>
  </si>
  <si>
    <t>arthur.civelli@utt.fr</t>
  </si>
  <si>
    <t>0781627769</t>
  </si>
  <si>
    <t>Jules</t>
  </si>
  <si>
    <t>eloise.conseil@utt.fr</t>
  </si>
  <si>
    <t>0695661610</t>
  </si>
  <si>
    <t>paul.contant@utt.fr</t>
  </si>
  <si>
    <t>0781580306</t>
  </si>
  <si>
    <t>cleo.coquet@utt.fr</t>
  </si>
  <si>
    <t>0783221276</t>
  </si>
  <si>
    <t>baptiste.cordonnier@utt.fr</t>
  </si>
  <si>
    <t>0785642188</t>
  </si>
  <si>
    <t>geoffrey.cornet@utt.fr</t>
  </si>
  <si>
    <t>0780302506</t>
  </si>
  <si>
    <t>romain.coudy@utt.fr</t>
  </si>
  <si>
    <t>0652110019</t>
  </si>
  <si>
    <t>Margot</t>
  </si>
  <si>
    <t>margot.couteller@utt.fr</t>
  </si>
  <si>
    <t>0780409553</t>
  </si>
  <si>
    <t>remi.couturier@utt.fr</t>
  </si>
  <si>
    <t>0651123674</t>
  </si>
  <si>
    <t>hugo.damion@utt.fr</t>
  </si>
  <si>
    <t xml:space="preserve">07 83 99 99 03 </t>
  </si>
  <si>
    <t>nathan.daviaud@utt.fr</t>
  </si>
  <si>
    <t>0618274594</t>
  </si>
  <si>
    <t>alban.delahais@utt.fr</t>
  </si>
  <si>
    <t>0643676353</t>
  </si>
  <si>
    <t>Louis</t>
  </si>
  <si>
    <t>louis.delhomme@utt.fr</t>
  </si>
  <si>
    <t>0652606300</t>
  </si>
  <si>
    <t>samuel.delsaux@utt.fr</t>
  </si>
  <si>
    <t>07 68 60 77 04</t>
  </si>
  <si>
    <t>Antoine</t>
  </si>
  <si>
    <t>antoine.desveronnieres@utt.fr</t>
  </si>
  <si>
    <t>0615726178</t>
  </si>
  <si>
    <t>lucie.devillard@utt.fr</t>
  </si>
  <si>
    <t>0634380156</t>
  </si>
  <si>
    <t>nathan.diascorn@utt.fr</t>
  </si>
  <si>
    <t>+33766166529</t>
  </si>
  <si>
    <t>Louise</t>
  </si>
  <si>
    <t>louise.ecale@utt.fr</t>
  </si>
  <si>
    <t>0671288449</t>
  </si>
  <si>
    <t>gwendal.elatri@utt.fr</t>
  </si>
  <si>
    <t>0615333758</t>
  </si>
  <si>
    <t>matteo.etienne42@gmail.com</t>
  </si>
  <si>
    <t>0782115454</t>
  </si>
  <si>
    <t>claire.failla@utt.fr</t>
  </si>
  <si>
    <t>+33615611250</t>
  </si>
  <si>
    <t>elsa.fell@utt.fr</t>
  </si>
  <si>
    <t>06.33.01.35.72</t>
  </si>
  <si>
    <t>nathan.firinga@utt.fr</t>
  </si>
  <si>
    <t>0683628601</t>
  </si>
  <si>
    <t>aymeric.francois@utt.fr</t>
  </si>
  <si>
    <t>0781512291</t>
  </si>
  <si>
    <t>martin.gandon@utt.fr</t>
  </si>
  <si>
    <t>0781147740</t>
  </si>
  <si>
    <t>louis.ganzer@utt.fr</t>
  </si>
  <si>
    <t>0789973471</t>
  </si>
  <si>
    <t>milo.garbal@utt.fr</t>
  </si>
  <si>
    <t>0777388147</t>
  </si>
  <si>
    <t>gregoire.gaumain@utt.fr</t>
  </si>
  <si>
    <t>0620184353</t>
  </si>
  <si>
    <t>Charles</t>
  </si>
  <si>
    <t>charles.goemaere@utt.fr</t>
  </si>
  <si>
    <t>0682251787</t>
  </si>
  <si>
    <t>pierre.gourmelon@utt.fr</t>
  </si>
  <si>
    <t>0781188748</t>
  </si>
  <si>
    <t>tgrondint03@gmail.com</t>
  </si>
  <si>
    <t>0782662123</t>
  </si>
  <si>
    <t>thomas.guibert@utt.fr</t>
  </si>
  <si>
    <t>0695152205</t>
  </si>
  <si>
    <t>antoine.guillaumet@utt.fr</t>
  </si>
  <si>
    <t>0782723479</t>
  </si>
  <si>
    <t>louison.guilpain@utt.fr</t>
  </si>
  <si>
    <t>0768696348</t>
  </si>
  <si>
    <t>emma.guimbretiere@utt.fr</t>
  </si>
  <si>
    <t>+33648985218</t>
  </si>
  <si>
    <t>anthony.haumont@utt.fr</t>
  </si>
  <si>
    <t>0695342634</t>
  </si>
  <si>
    <t>louis.hennechart@utt.fr</t>
  </si>
  <si>
    <t>0617504544</t>
  </si>
  <si>
    <t>romain.iaquinta@utt.fr</t>
  </si>
  <si>
    <t>0664576951</t>
  </si>
  <si>
    <t>felix.ienny@utt.fr</t>
  </si>
  <si>
    <t>+33678937306</t>
  </si>
  <si>
    <t>kelian.imbert@utt.fr</t>
  </si>
  <si>
    <t>0786492177</t>
  </si>
  <si>
    <t>baptiste.ismedon@utt.fr</t>
  </si>
  <si>
    <t>0610728307</t>
  </si>
  <si>
    <t>Thibault</t>
  </si>
  <si>
    <t>thibault.issartel@utt.fr</t>
  </si>
  <si>
    <t>0781088852</t>
  </si>
  <si>
    <t>noemie.jaunin@utt.fr</t>
  </si>
  <si>
    <t>0640414644</t>
  </si>
  <si>
    <t>tristan.jaussaud@utt.fr</t>
  </si>
  <si>
    <t>+33695779608</t>
  </si>
  <si>
    <t>thomas.jouaire@utt.fr</t>
  </si>
  <si>
    <t>0783311116</t>
  </si>
  <si>
    <t>enzo.joulain@utt.fr</t>
  </si>
  <si>
    <t>07 82 14 94 62</t>
  </si>
  <si>
    <t>noe.jouny@gmail.com</t>
  </si>
  <si>
    <t>0652870299</t>
  </si>
  <si>
    <t>noe.jouve@utt.fr</t>
  </si>
  <si>
    <t>0636499302</t>
  </si>
  <si>
    <t>hedi.kamoun@utt.fr</t>
  </si>
  <si>
    <t>06 24 82 54 18</t>
  </si>
  <si>
    <t>mateo.kaspesczyk@utt.fr</t>
  </si>
  <si>
    <t>06 38 89 40 57</t>
  </si>
  <si>
    <t>valentyn.kaszluk@utt.fr</t>
  </si>
  <si>
    <t>0651881523</t>
  </si>
  <si>
    <t>clement.kerckhove@utt.fr</t>
  </si>
  <si>
    <t>0783109735</t>
  </si>
  <si>
    <t>Hortense</t>
  </si>
  <si>
    <t>hortense.kersuzan@utt.fr</t>
  </si>
  <si>
    <t>0652709769</t>
  </si>
  <si>
    <t>anne_lise.knecht@utt.fr</t>
  </si>
  <si>
    <t>0768963133</t>
  </si>
  <si>
    <t>theo.koehler@utt.fr</t>
  </si>
  <si>
    <t>0754816877</t>
  </si>
  <si>
    <t>eugene.lacouture@utt.fr</t>
  </si>
  <si>
    <t>0781198430</t>
  </si>
  <si>
    <t>mathis.lallement@utt.fr</t>
  </si>
  <si>
    <t>0651542659</t>
  </si>
  <si>
    <t>sibylle.landais@utt.fr</t>
  </si>
  <si>
    <t>0783221663</t>
  </si>
  <si>
    <t>hoang.le@utt.fr</t>
  </si>
  <si>
    <t>0646265269</t>
  </si>
  <si>
    <t>gaetan.le_cossec@utt.fr</t>
  </si>
  <si>
    <t>06 51 11 97 45</t>
  </si>
  <si>
    <t>theo.le_fur@utt.fr</t>
  </si>
  <si>
    <t>0781812465</t>
  </si>
  <si>
    <t>Charlotte</t>
  </si>
  <si>
    <t>charlotte.le_graet@utt.fr</t>
  </si>
  <si>
    <t>0649475377</t>
  </si>
  <si>
    <t>victor.lechevallier@utt.fr</t>
  </si>
  <si>
    <t>0622970563</t>
  </si>
  <si>
    <t>augustin.lecoq@utt.fr</t>
  </si>
  <si>
    <t>0669516695</t>
  </si>
  <si>
    <t>jean.lenoir@utt.fr</t>
  </si>
  <si>
    <t>0652586424</t>
  </si>
  <si>
    <t>dorian.liard@utt.fr</t>
  </si>
  <si>
    <t>0619875827</t>
  </si>
  <si>
    <t>elona.lietaert@utt.fr</t>
  </si>
  <si>
    <t>0601050905</t>
  </si>
  <si>
    <t>mathis.lorenzini@gmail.com</t>
  </si>
  <si>
    <t>0617763775</t>
  </si>
  <si>
    <t>Simon</t>
  </si>
  <si>
    <t>simon.loubet@utt.fr</t>
  </si>
  <si>
    <t>0783033223</t>
  </si>
  <si>
    <t>enguerrand.lucat@gmail.com</t>
  </si>
  <si>
    <t>0622855476</t>
  </si>
  <si>
    <t>Diane</t>
  </si>
  <si>
    <t>diane.maheo@utt.fr</t>
  </si>
  <si>
    <t>0672523723</t>
  </si>
  <si>
    <t>thomas.malherbe@utt.fr</t>
  </si>
  <si>
    <t>0695823203</t>
  </si>
  <si>
    <t>julian.marques@utt.fr</t>
  </si>
  <si>
    <t>0782118333</t>
  </si>
  <si>
    <t>emerine.marquier@utt.fr</t>
  </si>
  <si>
    <t>0698525448</t>
  </si>
  <si>
    <t>anatole.massicot@utt.fr</t>
  </si>
  <si>
    <t>0675353992</t>
  </si>
  <si>
    <t>thomas.matamba@utt.fr</t>
  </si>
  <si>
    <t>0617994361</t>
  </si>
  <si>
    <t>menardjodie@gmail.com</t>
  </si>
  <si>
    <t>0695970167</t>
  </si>
  <si>
    <t>thomas.meralli_ballou@utt.fr</t>
  </si>
  <si>
    <t>0637246114</t>
  </si>
  <si>
    <t>ali.mikou@utt.fr</t>
  </si>
  <si>
    <t>0749952887</t>
  </si>
  <si>
    <t>agnes.milcamps@utt.fr</t>
  </si>
  <si>
    <t>0767366780</t>
  </si>
  <si>
    <t>Alexandre</t>
  </si>
  <si>
    <t>alexandre.mole@utt.fr</t>
  </si>
  <si>
    <t>0618057321</t>
  </si>
  <si>
    <t>pauline.moracchini@utt.fr</t>
  </si>
  <si>
    <t>0618209394</t>
  </si>
  <si>
    <t>theo.moreau@utt.fr</t>
  </si>
  <si>
    <t>+33781654955</t>
  </si>
  <si>
    <t>Margaux</t>
  </si>
  <si>
    <t>margaux.moreews@utt.fr</t>
  </si>
  <si>
    <t>0643209852</t>
  </si>
  <si>
    <t>delphineneumann@outlook.com</t>
  </si>
  <si>
    <t>0689766630</t>
  </si>
  <si>
    <t>jerome.nicaud@utt.fr</t>
  </si>
  <si>
    <t>florian.noel@utt.fr</t>
  </si>
  <si>
    <t>0767254138</t>
  </si>
  <si>
    <t>romain.pautre@utt.fr</t>
  </si>
  <si>
    <t>0675714048</t>
  </si>
  <si>
    <t>gregoire.raynal@utt.fr</t>
  </si>
  <si>
    <t>0781051190</t>
  </si>
  <si>
    <t>jeanne.raynaud@utt.fr</t>
  </si>
  <si>
    <t>0661023510</t>
  </si>
  <si>
    <t>margot.remy@utt.fr</t>
  </si>
  <si>
    <t>0643849029</t>
  </si>
  <si>
    <t>jeremie.richard@utt.fr</t>
  </si>
  <si>
    <t>0671320416</t>
  </si>
  <si>
    <t>algis.rolet@utt.fr</t>
  </si>
  <si>
    <t>0785158774</t>
  </si>
  <si>
    <t>felix.romain@utt.fr</t>
  </si>
  <si>
    <t>0651344084</t>
  </si>
  <si>
    <t>Capucine</t>
  </si>
  <si>
    <t>capucine.room@utt.fr</t>
  </si>
  <si>
    <t>0643340609</t>
  </si>
  <si>
    <t>clement.roqueta@utt.fr</t>
  </si>
  <si>
    <t>0769338690</t>
  </si>
  <si>
    <t>Marion</t>
  </si>
  <si>
    <t>marion.sacharidis@utt.fr</t>
  </si>
  <si>
    <t>0646266779</t>
  </si>
  <si>
    <t>anais.santanach@utt.fr</t>
  </si>
  <si>
    <t>0783556870</t>
  </si>
  <si>
    <t>lucas.sauron@utt.fr</t>
  </si>
  <si>
    <t>0769824605</t>
  </si>
  <si>
    <t>fantin.schmitt@utt.fr</t>
  </si>
  <si>
    <t>0652814183</t>
  </si>
  <si>
    <t>theophile.schuft@utt.fr</t>
  </si>
  <si>
    <t>0695707067</t>
  </si>
  <si>
    <t>melville.seguy_houel@utt.fr</t>
  </si>
  <si>
    <t>0783328300</t>
  </si>
  <si>
    <t>mounia.senhadji@utt.fr</t>
  </si>
  <si>
    <t>0666232840</t>
  </si>
  <si>
    <t>marko.todorovic@utt.fr</t>
  </si>
  <si>
    <t>0695111865</t>
  </si>
  <si>
    <t>Camille</t>
  </si>
  <si>
    <t>camille.toussaint@utt.fr</t>
  </si>
  <si>
    <t>0610808216</t>
  </si>
  <si>
    <t>alice.treche@utt.fr</t>
  </si>
  <si>
    <t>0674247804</t>
  </si>
  <si>
    <t>antton.valet@utt.fr</t>
  </si>
  <si>
    <t>0781832583</t>
  </si>
  <si>
    <t>romane.varangot@utt.fr</t>
  </si>
  <si>
    <t>0768809721</t>
  </si>
  <si>
    <t>domitille.vernier@utt.fr</t>
  </si>
  <si>
    <t>0781014956</t>
  </si>
  <si>
    <t>etienne.veyradier@utt.fr</t>
  </si>
  <si>
    <t>0781016516</t>
  </si>
  <si>
    <t>Thibaut</t>
  </si>
  <si>
    <t>thibaut.volpei@utt.fr</t>
  </si>
  <si>
    <t>0781623749</t>
  </si>
  <si>
    <t>aurelien.vozel@utt.fr</t>
  </si>
  <si>
    <t>0783366180</t>
  </si>
  <si>
    <t>adrien.warnet@utt.fr</t>
  </si>
  <si>
    <t>0626574784</t>
  </si>
  <si>
    <t>Laurent</t>
  </si>
  <si>
    <t>laurent.zhu@utt.fr</t>
  </si>
  <si>
    <t>0767950488</t>
  </si>
  <si>
    <t>abbou.adzio@orange.fr</t>
  </si>
  <si>
    <t>06.93.33.76.49</t>
  </si>
  <si>
    <t>1</t>
  </si>
  <si>
    <t>admajlianpaul@gmail.com</t>
  </si>
  <si>
    <t>07.83.41.17.60</t>
  </si>
  <si>
    <t>Clément</t>
  </si>
  <si>
    <t>cle.anquetil@laposte.net</t>
  </si>
  <si>
    <t>07.82.19.28.03</t>
  </si>
  <si>
    <t>mick.arganini@gmail.com</t>
  </si>
  <si>
    <t>mj.arnaudies@gmail.com</t>
  </si>
  <si>
    <t>06.64.05.23.01</t>
  </si>
  <si>
    <t>0</t>
  </si>
  <si>
    <t>william.arrault@utt.fr</t>
  </si>
  <si>
    <t>0658862101</t>
  </si>
  <si>
    <t>lilian.assemat26@gmail.com</t>
  </si>
  <si>
    <t>juliette.auvray18@gmail.com</t>
  </si>
  <si>
    <t>07.68.69.11.51</t>
  </si>
  <si>
    <t>dachavde@gmail.com</t>
  </si>
  <si>
    <t>06.09.99.00.45</t>
  </si>
  <si>
    <t>yanisazarkane2@gmail.com</t>
  </si>
  <si>
    <t>07.81.43.33.13</t>
  </si>
  <si>
    <t>thibaud.azou@proton.me</t>
  </si>
  <si>
    <t>07.49.48.96.34</t>
  </si>
  <si>
    <t>guenole.baillot@outlook.fr</t>
  </si>
  <si>
    <t>06.41.82.35.53</t>
  </si>
  <si>
    <t>leeloo.balayn@gmail.com</t>
  </si>
  <si>
    <t>06.96.88.00.88</t>
  </si>
  <si>
    <t>julesbarbe8@gmail.com</t>
  </si>
  <si>
    <t>sabarthazo@gmail.com</t>
  </si>
  <si>
    <t>07.81.64.86.75</t>
  </si>
  <si>
    <t>theo.baudoin38@gmail.com</t>
  </si>
  <si>
    <t>tombaudry07@gmail.com</t>
  </si>
  <si>
    <t>07.88.54.37.22</t>
  </si>
  <si>
    <t>louisebazin2404@gmail.com</t>
  </si>
  <si>
    <t>06.70.25.44.74</t>
  </si>
  <si>
    <t>Alix</t>
  </si>
  <si>
    <t>alixbeauchamp4@gmail.com</t>
  </si>
  <si>
    <t>07.82.71.01.20</t>
  </si>
  <si>
    <t>lao.beaudoin@gmail.com</t>
  </si>
  <si>
    <t>07.68.41.84.26</t>
  </si>
  <si>
    <t>enzobeaudoindesgrippes@gmail.com</t>
  </si>
  <si>
    <t>07.80.50.65.09</t>
  </si>
  <si>
    <t>carlosbecerril2000@gmail.com</t>
  </si>
  <si>
    <t>+525512344974</t>
  </si>
  <si>
    <t>valentin.begis@gmail.com</t>
  </si>
  <si>
    <t>07.82.59.30.75</t>
  </si>
  <si>
    <t>Constance</t>
  </si>
  <si>
    <t>constance.benoistgironiere@gmail.com</t>
  </si>
  <si>
    <t>06.68.36.04.62</t>
  </si>
  <si>
    <t>adelbens09@gmail.com</t>
  </si>
  <si>
    <t>06.20.52.90.11</t>
  </si>
  <si>
    <t>hugo.bergerat2002@gmail.com</t>
  </si>
  <si>
    <t>lucas.bermudez@laposte.net</t>
  </si>
  <si>
    <t>07.86.32.12.09</t>
  </si>
  <si>
    <t>leobernardjean@gmail.com</t>
  </si>
  <si>
    <t>07.62.87.63.46</t>
  </si>
  <si>
    <t>eloi.berne@gmail.com</t>
  </si>
  <si>
    <t>06.47.22.07.01</t>
  </si>
  <si>
    <t>hbertoli03@yahoo.com</t>
  </si>
  <si>
    <t>07.68.78.14.21</t>
  </si>
  <si>
    <t>jeremybettini13@gmail.com</t>
  </si>
  <si>
    <t>07.89.68.35.45</t>
  </si>
  <si>
    <t>mael-bezilles@orange.fr</t>
  </si>
  <si>
    <t>07.84.32.99.05</t>
  </si>
  <si>
    <t>lina.biagetti16@gmail.com</t>
  </si>
  <si>
    <t>06.11.25.08.79</t>
  </si>
  <si>
    <t>Nicolas</t>
  </si>
  <si>
    <t>2004nicolasbianchi@gmail.com</t>
  </si>
  <si>
    <t>06.08.60.19.81</t>
  </si>
  <si>
    <t>romain.bichet9@orange.fr</t>
  </si>
  <si>
    <t>06.29.34.07.96</t>
  </si>
  <si>
    <t>Benoît</t>
  </si>
  <si>
    <t>benoit.binet04@orange.fr</t>
  </si>
  <si>
    <t>07.69.90.85.04</t>
  </si>
  <si>
    <t>paul.birker68@gmail.com</t>
  </si>
  <si>
    <t>07.66.00.04.09</t>
  </si>
  <si>
    <t>ioio@blanchetot.com</t>
  </si>
  <si>
    <t>07.79.05.40.87</t>
  </si>
  <si>
    <t>maxime.blandin47@gmail.com</t>
  </si>
  <si>
    <t>07.67.94.43.33</t>
  </si>
  <si>
    <t>Mathilde</t>
  </si>
  <si>
    <t>mat.bodet@orange.fr</t>
  </si>
  <si>
    <t>ewen.bodin@gmail.com</t>
  </si>
  <si>
    <t>07.68.40.06.31</t>
  </si>
  <si>
    <t>nathanbodin01@gmail.com</t>
  </si>
  <si>
    <t>07.67.58.19.05</t>
  </si>
  <si>
    <t>alex.boissadie@gmail.com</t>
  </si>
  <si>
    <t>tao.boiss@gmail.com</t>
  </si>
  <si>
    <t>06.01.90.32.09</t>
  </si>
  <si>
    <t>terence.bonilauri@outlook.com</t>
  </si>
  <si>
    <t>07.82.11.97.72</t>
  </si>
  <si>
    <t>zo.bnfs@gmail.com</t>
  </si>
  <si>
    <t>07.66.00.21.94</t>
  </si>
  <si>
    <t>louis17b@gmail.com</t>
  </si>
  <si>
    <t>07.62.76.33.50</t>
  </si>
  <si>
    <t>jade.bonopera@gmail.com</t>
  </si>
  <si>
    <t>06.41.81.29.55</t>
  </si>
  <si>
    <t>borgiyosri7@gmail.com</t>
  </si>
  <si>
    <t>07.86.18.42.33</t>
  </si>
  <si>
    <t>bossardlila@gmail.com</t>
  </si>
  <si>
    <t>06.23.95.11.61</t>
  </si>
  <si>
    <t>alexis.boulaie45@orange.fr</t>
  </si>
  <si>
    <t>07.85.34.49.68</t>
  </si>
  <si>
    <t>hippolyte.bourdin@gmail.com</t>
  </si>
  <si>
    <t>06.31.67.90.72</t>
  </si>
  <si>
    <t>simonbourel69@gmail.com</t>
  </si>
  <si>
    <t>06.52.58.10.40</t>
  </si>
  <si>
    <t>Pierre</t>
  </si>
  <si>
    <t>pierre.brg314@gmail.com</t>
  </si>
  <si>
    <t>07.66.00.85.40</t>
  </si>
  <si>
    <t>nicolas.bourguignon1@gmail.com</t>
  </si>
  <si>
    <t>06.32.52.51.18</t>
  </si>
  <si>
    <t>Jérôme</t>
  </si>
  <si>
    <t>jerome.braems25@gmail.com</t>
  </si>
  <si>
    <t>06.51.44.76.78</t>
  </si>
  <si>
    <t>bricoalexandre@gmail.com</t>
  </si>
  <si>
    <t>07.85.46.96.03</t>
  </si>
  <si>
    <t>noebriffa37@gmail.com</t>
  </si>
  <si>
    <t>06.51.72.58.17</t>
  </si>
  <si>
    <t>elliot.brochier@gmail.com</t>
  </si>
  <si>
    <t>06.37.32.70.72</t>
  </si>
  <si>
    <t>daniela17.brown@gmail.com</t>
  </si>
  <si>
    <t>+51 969542616</t>
  </si>
  <si>
    <t>brunonadrien@gmail.com</t>
  </si>
  <si>
    <t>06.95.25.05.02</t>
  </si>
  <si>
    <t>louis.butin04@gmail.com</t>
  </si>
  <si>
    <t>07.82.87.59.14</t>
  </si>
  <si>
    <t>gurvan.cabioch@gmail.com</t>
  </si>
  <si>
    <t>06.43.43.52.05</t>
  </si>
  <si>
    <t>achille.camus@gmail.com</t>
  </si>
  <si>
    <t>06.49.18.33.60</t>
  </si>
  <si>
    <t>raphaelcanavate1@gmail.com</t>
  </si>
  <si>
    <t>07.69.29.17.19</t>
  </si>
  <si>
    <t>solal.castaingts@gmail.com</t>
  </si>
  <si>
    <t>romain.catherine.prv@gmail.com</t>
  </si>
  <si>
    <t>06.35.45.02.13</t>
  </si>
  <si>
    <t>paul1.chanthaphasouk@orange.fr</t>
  </si>
  <si>
    <t>nathan.judo77@gmail.com</t>
  </si>
  <si>
    <t>06.42.81.75.93</t>
  </si>
  <si>
    <t>chemin.aurelien2001@gmail.com</t>
  </si>
  <si>
    <t>06.58.04.05.10</t>
  </si>
  <si>
    <t>leochene37@sfr.fr</t>
  </si>
  <si>
    <t>06.24.03.87.26</t>
  </si>
  <si>
    <t>a.chenivesse@protonmail.com</t>
  </si>
  <si>
    <t>neriman.cherouat@gmail.com</t>
  </si>
  <si>
    <t>07.83.44.07.98</t>
  </si>
  <si>
    <t>esteban.chevet@free.fr</t>
  </si>
  <si>
    <t>07.69.24.97.28</t>
  </si>
  <si>
    <t>chevreuxtibalt@gmail.com</t>
  </si>
  <si>
    <t>06.59.21.46.56</t>
  </si>
  <si>
    <t>nolan.cholet10@gmail.com</t>
  </si>
  <si>
    <t>07.68.18.67.74</t>
  </si>
  <si>
    <t>romane_citerne@orange.fr</t>
  </si>
  <si>
    <t>marius.clausse@gmail.com</t>
  </si>
  <si>
    <t>06.95.26.03.74</t>
  </si>
  <si>
    <t>florentclcl@gmail.com</t>
  </si>
  <si>
    <t>06.40.84.06.74</t>
  </si>
  <si>
    <t>ewen.clugery@gmail.com</t>
  </si>
  <si>
    <t>06.95.25.63.53</t>
  </si>
  <si>
    <t>t.cnigniet@laposte.net</t>
  </si>
  <si>
    <t>07.71.86.76.99</t>
  </si>
  <si>
    <t>margaux.cola@free.fr</t>
  </si>
  <si>
    <t>0630797437</t>
  </si>
  <si>
    <t>combe.noe@gmail.com</t>
  </si>
  <si>
    <t>06.61.00.41.18</t>
  </si>
  <si>
    <t>ilona.coquet@orange.fr</t>
  </si>
  <si>
    <t>07.77.75.03.26</t>
  </si>
  <si>
    <t>baba.inox@gmail.com</t>
  </si>
  <si>
    <t>06.75.66.36.15</t>
  </si>
  <si>
    <t>quentin.cordier52@gmail.com</t>
  </si>
  <si>
    <t>07.81.16.21.50</t>
  </si>
  <si>
    <t>Gabriel</t>
  </si>
  <si>
    <t>gab.corre126@gmail.com</t>
  </si>
  <si>
    <t>06.67.91.96.30</t>
  </si>
  <si>
    <t>yanncbl1@gmail.com</t>
  </si>
  <si>
    <t>julien.crabos64@gmail.com</t>
  </si>
  <si>
    <t>06.79.90.59.47</t>
  </si>
  <si>
    <t>Tristan</t>
  </si>
  <si>
    <t>cremonatristan@gmail.com</t>
  </si>
  <si>
    <t>06.26.61.41.61</t>
  </si>
  <si>
    <t>crucittival63@gmail.com</t>
  </si>
  <si>
    <t>07.67.48.46.63</t>
  </si>
  <si>
    <t>antoine.danguillaume@gmail.com</t>
  </si>
  <si>
    <t>07.68.40.81.92</t>
  </si>
  <si>
    <t>Océane</t>
  </si>
  <si>
    <t>ocedaniel7@gmail.com</t>
  </si>
  <si>
    <t>07.83.53.41.67</t>
  </si>
  <si>
    <t>hugo.darricau@protonmail.com</t>
  </si>
  <si>
    <t>06.46.21.72.09</t>
  </si>
  <si>
    <t>mia-dauxerre@orange.fr</t>
  </si>
  <si>
    <t>06.75.05.57.09</t>
  </si>
  <si>
    <t>thibault.pibrac@Gmail.com</t>
  </si>
  <si>
    <t>06.95.05.28.54</t>
  </si>
  <si>
    <t>louisdelesquen@orange.fr</t>
  </si>
  <si>
    <t>06.37.57.77.46</t>
  </si>
  <si>
    <t>Marguerite</t>
  </si>
  <si>
    <t>marguerite.de-montgolfier@stjoavignon.com</t>
  </si>
  <si>
    <t>07.69.16.23.53</t>
  </si>
  <si>
    <t>debruynesylvain2@gmail.com</t>
  </si>
  <si>
    <t>g2lacour@gmail.com</t>
  </si>
  <si>
    <t>06.71.30.44.89</t>
  </si>
  <si>
    <t>luciedele59@gmail.com</t>
  </si>
  <si>
    <t>06.77.18.01.41</t>
  </si>
  <si>
    <t>Vincent</t>
  </si>
  <si>
    <t>vdelestre02@gmail.com</t>
  </si>
  <si>
    <t>07.67.05.39.26</t>
  </si>
  <si>
    <t>Timothée</t>
  </si>
  <si>
    <t>timotheedelode.lycee@gmail.com</t>
  </si>
  <si>
    <t>07.83.73.03.53</t>
  </si>
  <si>
    <t>demnard.lois@gmail.com</t>
  </si>
  <si>
    <t>louis.depelleypro@gmail.com</t>
  </si>
  <si>
    <t>07.68.42.43.88</t>
  </si>
  <si>
    <t>derniaux.solene@gmail.com</t>
  </si>
  <si>
    <t>descombesj11@gmail.com</t>
  </si>
  <si>
    <t>07.86.79.62.59</t>
  </si>
  <si>
    <t>pierrealexandre.des@icloud.com</t>
  </si>
  <si>
    <t>06.51.49.25.28</t>
  </si>
  <si>
    <t>pierre.dessauw@gmail.com</t>
  </si>
  <si>
    <t>ivan_devernois@yahoo.fr</t>
  </si>
  <si>
    <t>loulou.deydier@gmail.com</t>
  </si>
  <si>
    <t>06.68.84.60.15</t>
  </si>
  <si>
    <t>dhoinesimon@gmail.com</t>
  </si>
  <si>
    <t>06.01.82.04.29</t>
  </si>
  <si>
    <t>jeromedoespirito@gmail.com</t>
  </si>
  <si>
    <t>06.02.30.99.01</t>
  </si>
  <si>
    <t>ludi2004@sfr.fr</t>
  </si>
  <si>
    <t>07.83.98.30.23</t>
  </si>
  <si>
    <t>antonind2002@gmail.com</t>
  </si>
  <si>
    <t>07.71.64.72.70</t>
  </si>
  <si>
    <t>Victor</t>
  </si>
  <si>
    <t>victordrouaud@icloud.com</t>
  </si>
  <si>
    <t>06.88.64.61.53</t>
  </si>
  <si>
    <t>louis.f.ducasse@gmail.com</t>
  </si>
  <si>
    <t>06.19.93.77.56</t>
  </si>
  <si>
    <t>duceptflorian53@gmail.com</t>
  </si>
  <si>
    <t>theo.dugave@gmail.com</t>
  </si>
  <si>
    <t>07.68.25.71.92</t>
  </si>
  <si>
    <t>arth.dum42@gmail.com</t>
  </si>
  <si>
    <t>07.67.55.35.42</t>
  </si>
  <si>
    <t>alixdumont@free.fr</t>
  </si>
  <si>
    <t>06.79.80.12.36</t>
  </si>
  <si>
    <t>dunabinemile@gmail.com</t>
  </si>
  <si>
    <t>06.80.27.27.60</t>
  </si>
  <si>
    <t>nicolashuy.durier@gmail.com</t>
  </si>
  <si>
    <t>Benjamin</t>
  </si>
  <si>
    <t>benji76uk@gmail.com</t>
  </si>
  <si>
    <t>07.54.36.32.27</t>
  </si>
  <si>
    <t>cleo.effantin@gmail.com</t>
  </si>
  <si>
    <t>07.83.65.88.66</t>
  </si>
  <si>
    <t>ehrsam.anthony@gmail.com</t>
  </si>
  <si>
    <t>07.83.94.73.17</t>
  </si>
  <si>
    <t>elmchantef.sarah@gmail.com</t>
  </si>
  <si>
    <t>06.60.10.39.61</t>
  </si>
  <si>
    <t>sd.ennouaimi@gmail.com</t>
  </si>
  <si>
    <t>06.50.53.18.59</t>
  </si>
  <si>
    <t>vincent.estachy@gmail.com</t>
  </si>
  <si>
    <t>07.81.06.85.96</t>
  </si>
  <si>
    <t>Guillaume</t>
  </si>
  <si>
    <t>eybrardguillaume@gmail.com</t>
  </si>
  <si>
    <t>06.09.50.17.15</t>
  </si>
  <si>
    <t>nicoux10@gmail.com</t>
  </si>
  <si>
    <t>07.69.02.50.99</t>
  </si>
  <si>
    <t>fauconchloe2@gmail.com</t>
  </si>
  <si>
    <t>06.96.86.51.25</t>
  </si>
  <si>
    <t>sibylle.fedacou@gmail.com</t>
  </si>
  <si>
    <t>06.13.91.71.22</t>
  </si>
  <si>
    <t>Lucy</t>
  </si>
  <si>
    <t>lucyfeneyrol@gmail.com</t>
  </si>
  <si>
    <t>06.52.56.76.15</t>
  </si>
  <si>
    <t>juliette.fontaine.77@gmail.com</t>
  </si>
  <si>
    <t>06.51.36.58.77</t>
  </si>
  <si>
    <t>simon@fortes.fr</t>
  </si>
  <si>
    <t>06.52.74.99.39</t>
  </si>
  <si>
    <t>francois.valentin66@gmail.com</t>
  </si>
  <si>
    <t>06.08.22.68.46</t>
  </si>
  <si>
    <t>lfreihaut04@gmail.com</t>
  </si>
  <si>
    <t>07.78.40.92.59</t>
  </si>
  <si>
    <t>camille.fressencourt@orange.fr</t>
  </si>
  <si>
    <t>07.69.85.31.79</t>
  </si>
  <si>
    <t>fritiglucie@gmail.com</t>
  </si>
  <si>
    <t>06.35.78.48.27</t>
  </si>
  <si>
    <t>furet.benjamin57@gmail.com</t>
  </si>
  <si>
    <t>06.51.82.78.90</t>
  </si>
  <si>
    <t>Amélie</t>
  </si>
  <si>
    <t>amelie.gallier35@gmail.com</t>
  </si>
  <si>
    <t>07.62.04.58.27</t>
  </si>
  <si>
    <t>louis.gallois.yonne@gmail.com</t>
  </si>
  <si>
    <t>06.23.92.03.18</t>
  </si>
  <si>
    <t>jeanbaptiste.garbe@gmail.com</t>
  </si>
  <si>
    <t>07.88.62.47.81</t>
  </si>
  <si>
    <t>simon.gelbart@outlook.fr</t>
  </si>
  <si>
    <t>Adam</t>
  </si>
  <si>
    <t>geoffroyadam70@gmail.com</t>
  </si>
  <si>
    <t>hippolyte.gineste@gmail.com</t>
  </si>
  <si>
    <t>thomas.ginet@utt.fr</t>
  </si>
  <si>
    <t>06 76 18 55 00</t>
  </si>
  <si>
    <t>Thibault.girardin41@gmail.com</t>
  </si>
  <si>
    <t>07.68.44.78.86</t>
  </si>
  <si>
    <t>emilgiret2@gmail.com</t>
  </si>
  <si>
    <t>07.68.48.23.14</t>
  </si>
  <si>
    <t>paulgirod78640@gmail.com</t>
  </si>
  <si>
    <t>06.68.79.84.75</t>
  </si>
  <si>
    <t>mathis.girod78@gmail.com</t>
  </si>
  <si>
    <t>06.25.90.61.72</t>
  </si>
  <si>
    <t>gmanon22@gmail.com</t>
  </si>
  <si>
    <t>07.82.85.76.05</t>
  </si>
  <si>
    <t>goldenrom20@gmail.com</t>
  </si>
  <si>
    <t>07.83.23.23.70</t>
  </si>
  <si>
    <t>louisgoubeaux@hotmail.fr</t>
  </si>
  <si>
    <t>granes.johann@gmail.com</t>
  </si>
  <si>
    <t>06.48.85.21.10</t>
  </si>
  <si>
    <t>nathangrp3@gmail.com</t>
  </si>
  <si>
    <t>07.85.19.22.29</t>
  </si>
  <si>
    <t>gromenillounis@gmail.com</t>
  </si>
  <si>
    <t>06.74.40.80.00</t>
  </si>
  <si>
    <t>mariusgrosdidier7@gmail.com</t>
  </si>
  <si>
    <t>06.52.27.69.00</t>
  </si>
  <si>
    <t>mateo.gueguen@utt.fr</t>
  </si>
  <si>
    <t>0633512767</t>
  </si>
  <si>
    <t>pro.nathanguerin@gmail.com</t>
  </si>
  <si>
    <t>07.83.45.76.64</t>
  </si>
  <si>
    <t>lucie.guerin10@laposte.net</t>
  </si>
  <si>
    <t>06.42.59.79.28</t>
  </si>
  <si>
    <t>a.guibereau@gmail.com</t>
  </si>
  <si>
    <t>06.52.98.30.02</t>
  </si>
  <si>
    <t>maloguibout@hotmail.fr</t>
  </si>
  <si>
    <t>Agathe</t>
  </si>
  <si>
    <t>agathe.guichard@free.fr</t>
  </si>
  <si>
    <t>07.68.47.01.47</t>
  </si>
  <si>
    <t>camille10.guth@gmail.com</t>
  </si>
  <si>
    <t>06.33.56.17.40</t>
  </si>
  <si>
    <t>guillaume.guthier@gmail.com</t>
  </si>
  <si>
    <t>06.33.28.98.28</t>
  </si>
  <si>
    <t>kevinguyader5@gmail.com</t>
  </si>
  <si>
    <t>06.23.32.42.33</t>
  </si>
  <si>
    <t>hallier240@gmail.com</t>
  </si>
  <si>
    <t>07.71.07.85.65</t>
  </si>
  <si>
    <t>mathieuh5980@gmail.com</t>
  </si>
  <si>
    <t>hamardl@laposte.net</t>
  </si>
  <si>
    <t>07.81.10.52.59</t>
  </si>
  <si>
    <t>lubinhaquet@gmail.com</t>
  </si>
  <si>
    <t>07.83.61.14.74</t>
  </si>
  <si>
    <t>Hazheer.ahmad@outlook.fr</t>
  </si>
  <si>
    <t>07.80.82.82.76</t>
  </si>
  <si>
    <t>Luc</t>
  </si>
  <si>
    <t>helder.luc@hotmail.com</t>
  </si>
  <si>
    <t>06.03.68.17.57</t>
  </si>
  <si>
    <t>noan3580@gmail.com</t>
  </si>
  <si>
    <t>06.45.08.87.34</t>
  </si>
  <si>
    <t>Anaïs</t>
  </si>
  <si>
    <t>anaishenery972@gmail.com</t>
  </si>
  <si>
    <t>06.09.79.53.98</t>
  </si>
  <si>
    <t>mael-henry@orange.fr</t>
  </si>
  <si>
    <t>06.33.75.41.71</t>
  </si>
  <si>
    <t>ewanherjean@orange.fr</t>
  </si>
  <si>
    <t>matheohrmn@gmail.com</t>
  </si>
  <si>
    <t>07.61.03.53.47</t>
  </si>
  <si>
    <t>felixhermouet@gmail.com</t>
  </si>
  <si>
    <t>+ 33 7 77 49 64 48</t>
  </si>
  <si>
    <t>swann2g@gmail.com</t>
  </si>
  <si>
    <t>07.83.63.03.51</t>
  </si>
  <si>
    <t>alexis.heuschling2@gmail.com</t>
  </si>
  <si>
    <t>06.19.67.33.96</t>
  </si>
  <si>
    <t>robin44.honore@gmail.com</t>
  </si>
  <si>
    <t>07.83.59.39.84</t>
  </si>
  <si>
    <t>quentin1.houbart@gmail.com</t>
  </si>
  <si>
    <t>06.37.81.77.46</t>
  </si>
  <si>
    <t>lilian.houbaux@gmail.com</t>
  </si>
  <si>
    <t>06.51.67.72.41</t>
  </si>
  <si>
    <t>hovnanianarnaud@gmail.com</t>
  </si>
  <si>
    <t>06.82.37.62.54</t>
  </si>
  <si>
    <t>Alicehuang.study@gmail.com</t>
  </si>
  <si>
    <t>07.68.96.58.83</t>
  </si>
  <si>
    <t>heliotness45@gmail.com</t>
  </si>
  <si>
    <t>07.83.85.70.52</t>
  </si>
  <si>
    <t>ninahusson@outlook.fr</t>
  </si>
  <si>
    <t>07.71.06.44.70</t>
  </si>
  <si>
    <t>iniko.remi@gmail.com</t>
  </si>
  <si>
    <t>07.81.91.57.35</t>
  </si>
  <si>
    <t>yohaniribarne@gmail.com</t>
  </si>
  <si>
    <t>06.88.38.65.32</t>
  </si>
  <si>
    <t>eliott.j@orange.fr</t>
  </si>
  <si>
    <t>06.44.11.48.17</t>
  </si>
  <si>
    <t>antoninjacrot@gmail.com</t>
  </si>
  <si>
    <t>06.70.39.54.14</t>
  </si>
  <si>
    <t>colin.jahier@gmail.com</t>
  </si>
  <si>
    <t>07.67.53.75.14</t>
  </si>
  <si>
    <t>kevin31072002@gmail.com</t>
  </si>
  <si>
    <t>07.50.61.95.51</t>
  </si>
  <si>
    <t>maxjeunot.vuong@gmail.com</t>
  </si>
  <si>
    <t>07.67.07.48.40</t>
  </si>
  <si>
    <t>mathieu.joly40@gmail.com</t>
  </si>
  <si>
    <t>06.80.81.16.81</t>
  </si>
  <si>
    <t>j.maximejourdy@gmail.com</t>
  </si>
  <si>
    <t>06.41.00.94.74</t>
  </si>
  <si>
    <t>arthur.julien.pro@gmail.com</t>
  </si>
  <si>
    <t>06.70.86.60.57</t>
  </si>
  <si>
    <t>sarahkaidi08@gmail.com</t>
  </si>
  <si>
    <t>07.83.89.37.10</t>
  </si>
  <si>
    <t>ilyeskammoun@yahoo.com</t>
  </si>
  <si>
    <t>07.86.66.76.74</t>
  </si>
  <si>
    <t>kasparianpierre@gmail.com</t>
  </si>
  <si>
    <t>06.15.58.97.76</t>
  </si>
  <si>
    <t>adrien.kattoua@gmail.com</t>
  </si>
  <si>
    <t>06.36.10.29.09</t>
  </si>
  <si>
    <t>Marie</t>
  </si>
  <si>
    <t>marie6700@gmx.fr</t>
  </si>
  <si>
    <t>06.46.08.41.15</t>
  </si>
  <si>
    <t>enzolageat6@gmail.com</t>
  </si>
  <si>
    <t>07.86.18.84.23</t>
  </si>
  <si>
    <t>louis.lanord@gmail.com</t>
  </si>
  <si>
    <t>07.63.17.11.05</t>
  </si>
  <si>
    <t>Adrien.lapios@gmail.com</t>
  </si>
  <si>
    <t>06.52.53.93.59</t>
  </si>
  <si>
    <t>lelainrraphael@gmail.com</t>
  </si>
  <si>
    <t>valentin.leroux01@gmail.com</t>
  </si>
  <si>
    <t>06.72.38.28.89</t>
  </si>
  <si>
    <t>lebarbe.morgane@gmail.com</t>
  </si>
  <si>
    <t>07.86.06.15.93</t>
  </si>
  <si>
    <t>emelinelebreton@free.fr</t>
  </si>
  <si>
    <t>07.82.35.84.81</t>
  </si>
  <si>
    <t>quentin.leclu1@gmail.com</t>
  </si>
  <si>
    <t>06.14.49.05.22</t>
  </si>
  <si>
    <t>noe.lecointe1@gmail.com</t>
  </si>
  <si>
    <t>icham.lecorvaisier@gmail.com</t>
  </si>
  <si>
    <t>07.71.69.15.86</t>
  </si>
  <si>
    <t>simonlp76@free.fr</t>
  </si>
  <si>
    <t>07.68.04.21.01</t>
  </si>
  <si>
    <t>leezaledain@gmail.com</t>
  </si>
  <si>
    <t>06.08.24.62.13</t>
  </si>
  <si>
    <t>ledda.romainxr@gmail.com</t>
  </si>
  <si>
    <t>lefebvre.cl28@gmail.com</t>
  </si>
  <si>
    <t>enora.leon1@gmail.com</t>
  </si>
  <si>
    <t>06.95.05.08.89</t>
  </si>
  <si>
    <t>axel.leray@utt.fr</t>
  </si>
  <si>
    <t>0789719696</t>
  </si>
  <si>
    <t>Augustin</t>
  </si>
  <si>
    <t>augustin.letellier78@orange.fr</t>
  </si>
  <si>
    <t>06.48.15.53.14</t>
  </si>
  <si>
    <t>romainlibat@gmail.com</t>
  </si>
  <si>
    <t>06.24.04.09.74</t>
  </si>
  <si>
    <t>Emmanuel</t>
  </si>
  <si>
    <t>yugillop@gmail.com</t>
  </si>
  <si>
    <t>06.18.03.52.29</t>
  </si>
  <si>
    <t>sp.louis.antoine@gmail.com</t>
  </si>
  <si>
    <t>06.80.36.04.53</t>
  </si>
  <si>
    <t>julienloze2002@gmail.com</t>
  </si>
  <si>
    <t>06.37.76.23.39</t>
  </si>
  <si>
    <t>clement_lubineau@orange.fr</t>
  </si>
  <si>
    <t>07.84.59.95.03</t>
  </si>
  <si>
    <t>thibault.magnier04@gmail.com</t>
  </si>
  <si>
    <t>07.83.65.18.62</t>
  </si>
  <si>
    <t>adrien.malaise@utt.fr</t>
  </si>
  <si>
    <t>0671834736</t>
  </si>
  <si>
    <t>Anto.mldr@gmail.com</t>
  </si>
  <si>
    <t>06.51.79.83.27</t>
  </si>
  <si>
    <t>mariamallem.mm@gmail.com</t>
  </si>
  <si>
    <t>07.83.36.08.37</t>
  </si>
  <si>
    <t>ilanmaouchi@gmail.com</t>
  </si>
  <si>
    <t>+41 78 232 62 52</t>
  </si>
  <si>
    <t>victor.mrne@gmail.com</t>
  </si>
  <si>
    <t>06.48.50.43.49</t>
  </si>
  <si>
    <t>mariage.lucas14@gmail.com</t>
  </si>
  <si>
    <t>06.69.31.53.19</t>
  </si>
  <si>
    <t>t.marmo38@gmail.com</t>
  </si>
  <si>
    <t>06.98.53.28.29</t>
  </si>
  <si>
    <t>orlane.marotte.21@neoma-bs.com</t>
  </si>
  <si>
    <t>06.12.15.52.08</t>
  </si>
  <si>
    <t>alexandremarteaud@hotmail.fr</t>
  </si>
  <si>
    <t>06.46.83.77.47</t>
  </si>
  <si>
    <t>hugoesteban.martin@gmail.com</t>
  </si>
  <si>
    <t>07.83.47.24.44</t>
  </si>
  <si>
    <t>maximin.mathe@gmail.com</t>
  </si>
  <si>
    <t>06.10.75.97.20</t>
  </si>
  <si>
    <t>aymard.mattlinger@gmail.com</t>
  </si>
  <si>
    <t>alexandre.megessier@gmail.com</t>
  </si>
  <si>
    <t>07.82.69.81.14</t>
  </si>
  <si>
    <t>anaelle.melo@outlook.fr</t>
  </si>
  <si>
    <t>06.65.03.85.63</t>
  </si>
  <si>
    <t>chloe.menez2@gmail.com</t>
  </si>
  <si>
    <t>06.37.82.91.61</t>
  </si>
  <si>
    <t>laurene.mennad@gmail.com</t>
  </si>
  <si>
    <t>06.49.07.36.87</t>
  </si>
  <si>
    <t>Grégoire</t>
  </si>
  <si>
    <t>gregoire.michaud@laposte.net</t>
  </si>
  <si>
    <t>06.87.45.20.91</t>
  </si>
  <si>
    <t>marian.michaud@gmail.com</t>
  </si>
  <si>
    <t>06.37.03.74.12</t>
  </si>
  <si>
    <t>paul.michelangeli@gmail.com</t>
  </si>
  <si>
    <t>07.69.76.43.33</t>
  </si>
  <si>
    <t>gaspardmiremarati@gmail.com</t>
  </si>
  <si>
    <t>06.04.06.38.36</t>
  </si>
  <si>
    <t>noemie.moll.52@gmail.com</t>
  </si>
  <si>
    <t>06.44.94.71.10</t>
  </si>
  <si>
    <t>baptistem21.bm@gmail.com</t>
  </si>
  <si>
    <t>07.66.32.63.16</t>
  </si>
  <si>
    <t>hugo.moreau.41800@gmail.com</t>
  </si>
  <si>
    <t>06.79.92.99.62</t>
  </si>
  <si>
    <t>sebastian29170@gmail.com</t>
  </si>
  <si>
    <t>06.42.12.15.24</t>
  </si>
  <si>
    <t>lila.mortier@gmail.com</t>
  </si>
  <si>
    <t>07.83.01.04.00</t>
  </si>
  <si>
    <t>sismogamesm@gmail.com</t>
  </si>
  <si>
    <t>07.81.72.58.72</t>
  </si>
  <si>
    <t>musset.aurelien.54@gmail.com</t>
  </si>
  <si>
    <t>07.50.96.20.97</t>
  </si>
  <si>
    <t>morgane.narcy@orange.fr</t>
  </si>
  <si>
    <t>06.83.11.21.48</t>
  </si>
  <si>
    <t>alban.navarro@outlook.fr</t>
  </si>
  <si>
    <t>06.43.92.29.17</t>
  </si>
  <si>
    <t>adrienneveux1@gmail.com</t>
  </si>
  <si>
    <t>06.52.95.20.13</t>
  </si>
  <si>
    <t>mila.noa.nicolas@gmail.com</t>
  </si>
  <si>
    <t>nicolle.timothee@gmail.com</t>
  </si>
  <si>
    <t>07.68.24.99.77</t>
  </si>
  <si>
    <t>arthur.nivoix@utt.fr</t>
  </si>
  <si>
    <t>07.67.05.74.11</t>
  </si>
  <si>
    <t>romain.noblet@outlook.fr</t>
  </si>
  <si>
    <t>07.86.11.65.48</t>
  </si>
  <si>
    <t>nocetvictor@gmail.com</t>
  </si>
  <si>
    <t>07.82.07.94.02</t>
  </si>
  <si>
    <t>tifenn4536@gmail.com</t>
  </si>
  <si>
    <t>06.01.15.54.07</t>
  </si>
  <si>
    <t>elricnormand@gmail.com</t>
  </si>
  <si>
    <t>06.41.24.53.86</t>
  </si>
  <si>
    <t>natanaeloanea5@gmail.com</t>
  </si>
  <si>
    <t>07.82.26.85.43</t>
  </si>
  <si>
    <t>jerem.rst@gmail.com</t>
  </si>
  <si>
    <t>06.50.26.43.84</t>
  </si>
  <si>
    <t>noemie.ozille@free.fr</t>
  </si>
  <si>
    <t>07.69.07.29.95</t>
  </si>
  <si>
    <t>pallot.arthur@gmail.com</t>
  </si>
  <si>
    <t>06.20.37.33.40</t>
  </si>
  <si>
    <t>lucas.pannacci2103@gmail.com</t>
  </si>
  <si>
    <t>06.95.34.64.50</t>
  </si>
  <si>
    <t>emilienparey@gmail.com</t>
  </si>
  <si>
    <t>07.80.60.58.24</t>
  </si>
  <si>
    <t>Antoine.pascaud@utt.fr</t>
  </si>
  <si>
    <t>0674037037</t>
  </si>
  <si>
    <t>angelepaulin.0505@gmail.com</t>
  </si>
  <si>
    <t>06.61.01.61.92</t>
  </si>
  <si>
    <t>maxime.perrin@utt.fr</t>
  </si>
  <si>
    <t>0786293309</t>
  </si>
  <si>
    <t>tyron.perrin@utt.fr</t>
  </si>
  <si>
    <t>0780315985</t>
  </si>
  <si>
    <t>florent.perroux@gmail.com</t>
  </si>
  <si>
    <t>06.47.58.20.54</t>
  </si>
  <si>
    <t>petitnerilka@gmail.com</t>
  </si>
  <si>
    <t>07.82.06.19.59</t>
  </si>
  <si>
    <t>fabien.petit8@orange.fr</t>
  </si>
  <si>
    <t>07.62.73.81.78</t>
  </si>
  <si>
    <t>petrylou@gmail.com</t>
  </si>
  <si>
    <t>07.81.51.50.21</t>
  </si>
  <si>
    <t>constance.pfrunner@gmail.com</t>
  </si>
  <si>
    <t>07.86.23.30.08</t>
  </si>
  <si>
    <t>leonie@phamvan.net</t>
  </si>
  <si>
    <t>06.64.69.50.66</t>
  </si>
  <si>
    <t>nathan.pierry@free.fr</t>
  </si>
  <si>
    <t>07.69.26.61.35</t>
  </si>
  <si>
    <t>romain.pinede37@gmail.com</t>
  </si>
  <si>
    <t>07.68.37.48.15</t>
  </si>
  <si>
    <t>1591thib0@gmail.com</t>
  </si>
  <si>
    <t>07.49.08.77.08</t>
  </si>
  <si>
    <t>poultier.romain@gmail.com</t>
  </si>
  <si>
    <t>07.83.63.45.47</t>
  </si>
  <si>
    <t>angele.psm@gmail.com</t>
  </si>
  <si>
    <t>07.69.88.66.01</t>
  </si>
  <si>
    <t>flquellier@orange.fr</t>
  </si>
  <si>
    <t>06.70.50.47.52</t>
  </si>
  <si>
    <t>Marie_m_a_r@icloud.com</t>
  </si>
  <si>
    <t>06.45.63.12.12</t>
  </si>
  <si>
    <t>gael.rancoeur@gmail.com</t>
  </si>
  <si>
    <t>Louis.retho@sfr.fr</t>
  </si>
  <si>
    <t>07.83.25.22.78</t>
  </si>
  <si>
    <t>justine.rey051103@gmail.com</t>
  </si>
  <si>
    <t>06.52.15.48.73</t>
  </si>
  <si>
    <t>christian.riviere04@gmail.com</t>
  </si>
  <si>
    <t>07.68.19.87.28</t>
  </si>
  <si>
    <t>arnaud.robert73@orange.fr</t>
  </si>
  <si>
    <t>07.86.22.47.68</t>
  </si>
  <si>
    <t>th.robinet@sfr.fr</t>
  </si>
  <si>
    <t>07.82.00.39.12</t>
  </si>
  <si>
    <t>robinson.rocher@gmail.com</t>
  </si>
  <si>
    <t>07.69.82.70.44</t>
  </si>
  <si>
    <t>medulinerocher@gmail.com</t>
  </si>
  <si>
    <t>07.83.95.58.58</t>
  </si>
  <si>
    <t>rodriguez.maxime1966@gmail.com</t>
  </si>
  <si>
    <t>07.81.50.36.91</t>
  </si>
  <si>
    <t>mathilderollet16@gmail.com</t>
  </si>
  <si>
    <t>06.01.88.60.49</t>
  </si>
  <si>
    <t>guillaume.rozand@icloud.com</t>
  </si>
  <si>
    <t>07.83.92.63.78</t>
  </si>
  <si>
    <t>wilfried.ruiz1@gmail.com</t>
  </si>
  <si>
    <t>07.85.44.25.01</t>
  </si>
  <si>
    <t>sacquepeeioana@gmail.com</t>
  </si>
  <si>
    <t>07.82.49.92.38</t>
  </si>
  <si>
    <t>antoine.samson.parcoursup@gmail.com</t>
  </si>
  <si>
    <t>07.84.06.27.21</t>
  </si>
  <si>
    <t>nisarrouy@gmail.com</t>
  </si>
  <si>
    <t>06.03.05.49.39</t>
  </si>
  <si>
    <t>ludovic.scheidler.telephone@gmail.com</t>
  </si>
  <si>
    <t>07.68.50.50.40</t>
  </si>
  <si>
    <t>julienschieler@gmail.com</t>
  </si>
  <si>
    <t>07.68.38.74.72</t>
  </si>
  <si>
    <t>matthieuschuler@orange.fr</t>
  </si>
  <si>
    <t>06.75.58.58.83</t>
  </si>
  <si>
    <t>y.seffar@yahoo.fr</t>
  </si>
  <si>
    <t>06.58.52.19.11</t>
  </si>
  <si>
    <t>florentin.serredr@gmail.com</t>
  </si>
  <si>
    <t>06.46.70.87.67</t>
  </si>
  <si>
    <t>Marc</t>
  </si>
  <si>
    <t>m.simon91@live.fr</t>
  </si>
  <si>
    <t>antonin.soete@gmail.com</t>
  </si>
  <si>
    <t>07.68.45.42.03</t>
  </si>
  <si>
    <t>arthurs.dev@gmail.com</t>
  </si>
  <si>
    <t>06.40.19.83.96</t>
  </si>
  <si>
    <t>charles.stchepinsky@gmail.com</t>
  </si>
  <si>
    <t>06.21.71.69.44</t>
  </si>
  <si>
    <t>esanolit@gmail.com</t>
  </si>
  <si>
    <t>06.10.60.48.46</t>
  </si>
  <si>
    <t>hevan.tapia@gmail.com</t>
  </si>
  <si>
    <t>tappop.paul@gmail.com</t>
  </si>
  <si>
    <t>06.72.43.96.83</t>
  </si>
  <si>
    <t>thomas.taprest3@ornage.fr</t>
  </si>
  <si>
    <t>06.41.83.08.20</t>
  </si>
  <si>
    <t>maximetharreau1@gmail.com</t>
  </si>
  <si>
    <t>maxime.thav2004@gmail.com</t>
  </si>
  <si>
    <t>06.31.15.17.92</t>
  </si>
  <si>
    <t>marin.th73@gmail.com</t>
  </si>
  <si>
    <t>07.83.69.90.89</t>
  </si>
  <si>
    <t>teymourtheuil@gmail.com</t>
  </si>
  <si>
    <t>07.81.40.55.70</t>
  </si>
  <si>
    <t>anna.theze@gmail.com</t>
  </si>
  <si>
    <t>06.02.61.94.71</t>
  </si>
  <si>
    <t>lucie.thomas55555@gmail.com</t>
  </si>
  <si>
    <t>06.41.58.33.80</t>
  </si>
  <si>
    <t>nonophilo78@gmail.com</t>
  </si>
  <si>
    <t>07.68.50.99.52</t>
  </si>
  <si>
    <t>Thuardhugo@gmail.com</t>
  </si>
  <si>
    <t>06.52.18.19.17</t>
  </si>
  <si>
    <t>adrien.tor@gmail.com</t>
  </si>
  <si>
    <t>07.82.24.64.16</t>
  </si>
  <si>
    <t>matthieu.tran.chiang@gmail.com</t>
  </si>
  <si>
    <t>07.67.82.37.07</t>
  </si>
  <si>
    <t>arnotreffandier@gmail.com</t>
  </si>
  <si>
    <t>06.18.03.19.34</t>
  </si>
  <si>
    <t>Trb.teo@gmail.com</t>
  </si>
  <si>
    <t>07.83.91.78.40</t>
  </si>
  <si>
    <t>simontrotin10@gmail.com</t>
  </si>
  <si>
    <t>07.88.62.84.66</t>
  </si>
  <si>
    <t>mathieu.turlan2004@gmail.com</t>
  </si>
  <si>
    <t>06.95.12.76.58</t>
  </si>
  <si>
    <t>t.turp91@gmail.com</t>
  </si>
  <si>
    <t>07.83.15.35.68</t>
  </si>
  <si>
    <t>simon.vabre@gmail.com</t>
  </si>
  <si>
    <t>06.40.72.14.05</t>
  </si>
  <si>
    <t>louisvauby@gmail.com</t>
  </si>
  <si>
    <t>06.88.78.24.21</t>
  </si>
  <si>
    <t>foucault.vautherin@gmail.com</t>
  </si>
  <si>
    <t>07.66.87.78.16</t>
  </si>
  <si>
    <t>Caroline</t>
  </si>
  <si>
    <t>veau.caroline@outlook.fr</t>
  </si>
  <si>
    <t>06.68.83.96.72</t>
  </si>
  <si>
    <t>verlaet.etienne@gmail.com</t>
  </si>
  <si>
    <t>06.83.64.66.02</t>
  </si>
  <si>
    <t>mar1verron@gmail.com</t>
  </si>
  <si>
    <t>06.02.72.25.65</t>
  </si>
  <si>
    <t>Robin</t>
  </si>
  <si>
    <t>veyrerobin@gmail.com</t>
  </si>
  <si>
    <t>06.52.40.74.58</t>
  </si>
  <si>
    <t>valentin.vlte02@gmail.com</t>
  </si>
  <si>
    <t>06.41.86.74.76</t>
  </si>
  <si>
    <t>raphael.vion-lenormand@laposte.net</t>
  </si>
  <si>
    <t>07.81.44.80.14</t>
  </si>
  <si>
    <t>Théophile</t>
  </si>
  <si>
    <t>theophilewachtel@gmail.com</t>
  </si>
  <si>
    <t>06.95.94.41.41</t>
  </si>
  <si>
    <t>tristanwehrli@gmail.com</t>
  </si>
  <si>
    <t>07.81.79.28.76</t>
  </si>
  <si>
    <t>raphael.weis.2003@gmail.com</t>
  </si>
  <si>
    <t>06.83.12.90.06</t>
  </si>
  <si>
    <t>arman.ch.wolff@gmail.com</t>
  </si>
  <si>
    <t>06.48.41.21.84</t>
  </si>
  <si>
    <t>Syalaoui7@gmail.com</t>
  </si>
  <si>
    <t>06.49.67.24.78</t>
  </si>
  <si>
    <t>rudy0618@163.com</t>
  </si>
  <si>
    <t>06.09.73.65.43</t>
  </si>
  <si>
    <t>juleszucco740@gmail.com</t>
  </si>
  <si>
    <t>06.51.02.40.45</t>
  </si>
  <si>
    <t>vincent.zymla@gmail.com</t>
  </si>
  <si>
    <t>06.58.46.61.05</t>
  </si>
  <si>
    <t>Plaques</t>
  </si>
  <si>
    <t>GG383</t>
  </si>
  <si>
    <t>FN817</t>
  </si>
  <si>
    <t>EA190</t>
  </si>
  <si>
    <t>BW518</t>
  </si>
  <si>
    <t>FE275</t>
  </si>
  <si>
    <t>DE114</t>
  </si>
  <si>
    <t>BG174SQ</t>
  </si>
  <si>
    <t>AN738EQ</t>
  </si>
  <si>
    <t>BA712NH</t>
  </si>
  <si>
    <t>Majeur</t>
  </si>
  <si>
    <t>Arnaud Dufour</t>
  </si>
  <si>
    <t>Maxime Letoffet</t>
  </si>
  <si>
    <t>Elisa Vassal</t>
  </si>
  <si>
    <t>Marceline Mathe</t>
  </si>
  <si>
    <t>Arnaud Gorce</t>
  </si>
  <si>
    <t>Maëlie Gaveau</t>
  </si>
  <si>
    <t>Lucas Gottar</t>
  </si>
  <si>
    <t>Elijah Wane</t>
  </si>
  <si>
    <t>Aller</t>
  </si>
  <si>
    <t>Retour</t>
  </si>
  <si>
    <t>Numéro</t>
  </si>
  <si>
    <t>Pi</t>
  </si>
  <si>
    <t>Mj</t>
  </si>
  <si>
    <t>ATTRIBUTION BUS FINAL</t>
  </si>
  <si>
    <t>Participants total</t>
  </si>
  <si>
    <t>Mj (nombre de mineurs dans une équipe)</t>
  </si>
  <si>
    <t>Nombre de places de libre</t>
  </si>
  <si>
    <t>Total places</t>
  </si>
  <si>
    <t>C2</t>
  </si>
  <si>
    <t>C3</t>
  </si>
  <si>
    <t>C4</t>
  </si>
  <si>
    <t>C5</t>
  </si>
  <si>
    <t xml:space="preserve"> 7; 9; 12;</t>
  </si>
  <si>
    <t xml:space="preserve"> 10; 15; 25; 27;</t>
  </si>
  <si>
    <t xml:space="preserve"> 17; 19; 21; 34; 36; 39;</t>
  </si>
  <si>
    <t xml:space="preserve"> 11; 13; 26; 38;</t>
  </si>
  <si>
    <t xml:space="preserve"> 22; 23; 29; 37;</t>
  </si>
  <si>
    <t xml:space="preserve"> 16; 24; 31; 32;</t>
  </si>
  <si>
    <t xml:space="preserve"> 14; 18; 28;</t>
  </si>
  <si>
    <t xml:space="preserve"> 8; 20; 30; 33;</t>
  </si>
  <si>
    <t xml:space="preserve"> 6; 35;</t>
  </si>
  <si>
    <t>Orgas</t>
  </si>
  <si>
    <t>CE</t>
  </si>
  <si>
    <t>Margaret</t>
  </si>
  <si>
    <t>Barbier</t>
  </si>
  <si>
    <t>Maurice</t>
  </si>
  <si>
    <t>Cécile</t>
  </si>
  <si>
    <t>Lebreton</t>
  </si>
  <si>
    <t>Robert</t>
  </si>
  <si>
    <t>Delattre</t>
  </si>
  <si>
    <t>Lejeune</t>
  </si>
  <si>
    <t>Clerc</t>
  </si>
  <si>
    <t>Aubry</t>
  </si>
  <si>
    <t>Sophie</t>
  </si>
  <si>
    <t>Bernier</t>
  </si>
  <si>
    <t>Victoire</t>
  </si>
  <si>
    <t>Pires</t>
  </si>
  <si>
    <t>Ollivier</t>
  </si>
  <si>
    <t>Élise</t>
  </si>
  <si>
    <t>Langlois</t>
  </si>
  <si>
    <t>Thierry</t>
  </si>
  <si>
    <t>Merle</t>
  </si>
  <si>
    <t>Céline</t>
  </si>
  <si>
    <t>Boucher</t>
  </si>
  <si>
    <t>Sébastien</t>
  </si>
  <si>
    <t>Jourdan</t>
  </si>
  <si>
    <t>René</t>
  </si>
  <si>
    <t>Descamps</t>
  </si>
  <si>
    <t>Denis</t>
  </si>
  <si>
    <t>Bouvier</t>
  </si>
  <si>
    <t>Wagner</t>
  </si>
  <si>
    <t>Isabelle</t>
  </si>
  <si>
    <t>Duhamel</t>
  </si>
  <si>
    <t>Clémence</t>
  </si>
  <si>
    <t>Verdier</t>
  </si>
  <si>
    <t>Émile</t>
  </si>
  <si>
    <t>Lagarde</t>
  </si>
  <si>
    <t>Gimenez</t>
  </si>
  <si>
    <t>Petit</t>
  </si>
  <si>
    <t>Philippine</t>
  </si>
  <si>
    <t>Moulin</t>
  </si>
  <si>
    <t>Masse</t>
  </si>
  <si>
    <t>Rolland</t>
  </si>
  <si>
    <t>Philippe</t>
  </si>
  <si>
    <t>Salmon</t>
  </si>
  <si>
    <t>Blot</t>
  </si>
  <si>
    <t>Gilbert</t>
  </si>
  <si>
    <t>Paris</t>
  </si>
  <si>
    <t>Raymond</t>
  </si>
  <si>
    <t>Pons</t>
  </si>
  <si>
    <t>Émilie</t>
  </si>
  <si>
    <t>Lefebvre</t>
  </si>
  <si>
    <t>Georges</t>
  </si>
  <si>
    <t>Vallée</t>
  </si>
  <si>
    <t>Suzanne</t>
  </si>
  <si>
    <t>Fouquet</t>
  </si>
  <si>
    <t>Maggie</t>
  </si>
  <si>
    <t>Claude</t>
  </si>
  <si>
    <t>Legros</t>
  </si>
  <si>
    <t>Olivier</t>
  </si>
  <si>
    <t>Pelletier</t>
  </si>
  <si>
    <t>Lecoq</t>
  </si>
  <si>
    <t>Renée</t>
  </si>
  <si>
    <t>Leclerc</t>
  </si>
  <si>
    <t>Leleu</t>
  </si>
  <si>
    <t>Aurélie</t>
  </si>
  <si>
    <t>Maillard</t>
  </si>
  <si>
    <t>Patrick</t>
  </si>
  <si>
    <t>Andre</t>
  </si>
  <si>
    <t>Jacques</t>
  </si>
  <si>
    <t>Delorme</t>
  </si>
  <si>
    <t>Joséphine</t>
  </si>
  <si>
    <t>Marques</t>
  </si>
  <si>
    <t>Corinne</t>
  </si>
  <si>
    <t>Lecomte</t>
  </si>
  <si>
    <t>Henry</t>
  </si>
  <si>
    <t>Humbert</t>
  </si>
  <si>
    <t>Rocher</t>
  </si>
  <si>
    <t>Rousset</t>
  </si>
  <si>
    <t>Loiseau</t>
  </si>
  <si>
    <t>Christiane</t>
  </si>
  <si>
    <t>Brun</t>
  </si>
  <si>
    <t>Margaud</t>
  </si>
  <si>
    <t>Noël</t>
  </si>
  <si>
    <t>Henriette</t>
  </si>
  <si>
    <t>Foucher</t>
  </si>
  <si>
    <t>Madeleine</t>
  </si>
  <si>
    <t>Zacharie</t>
  </si>
  <si>
    <t>Lefèvre</t>
  </si>
  <si>
    <t>Morel</t>
  </si>
  <si>
    <t>Aubert</t>
  </si>
  <si>
    <t>Blondel</t>
  </si>
  <si>
    <t>Dorothée</t>
  </si>
  <si>
    <t>Muller</t>
  </si>
  <si>
    <t>Emmanuelle</t>
  </si>
  <si>
    <t>Perret</t>
  </si>
  <si>
    <t>Martin</t>
  </si>
  <si>
    <t>Guillet</t>
  </si>
  <si>
    <t>Michèle</t>
  </si>
  <si>
    <t>Julie</t>
  </si>
  <si>
    <t>Chevalier</t>
  </si>
  <si>
    <t>Neveu</t>
  </si>
  <si>
    <t>Hebert</t>
  </si>
  <si>
    <t>Baron</t>
  </si>
  <si>
    <t>Bigot</t>
  </si>
  <si>
    <t>Chartier</t>
  </si>
  <si>
    <t>Léger</t>
  </si>
  <si>
    <t>Maillot</t>
  </si>
  <si>
    <t>Adélaïde</t>
  </si>
  <si>
    <t>Parent</t>
  </si>
  <si>
    <t>Marcelle</t>
  </si>
  <si>
    <t>Girard</t>
  </si>
  <si>
    <t>Traore</t>
  </si>
  <si>
    <t>Valérie</t>
  </si>
  <si>
    <t>Legrand</t>
  </si>
  <si>
    <t>Éric</t>
  </si>
  <si>
    <t>Michel</t>
  </si>
  <si>
    <t>Xavier</t>
  </si>
  <si>
    <t>David</t>
  </si>
  <si>
    <t>Valentine</t>
  </si>
  <si>
    <t>Adrienne</t>
  </si>
  <si>
    <t>Dias</t>
  </si>
  <si>
    <t>Martine</t>
  </si>
  <si>
    <t>Vasseur</t>
  </si>
  <si>
    <t>Texier</t>
  </si>
  <si>
    <t>Simone</t>
  </si>
  <si>
    <t>Bourgeois</t>
  </si>
  <si>
    <t>Morvan</t>
  </si>
  <si>
    <t>Monnier</t>
  </si>
  <si>
    <t>Sabine</t>
  </si>
  <si>
    <t>Édith</t>
  </si>
  <si>
    <t>De Sousa</t>
  </si>
  <si>
    <t>Christophe</t>
  </si>
  <si>
    <t>Delaunay</t>
  </si>
  <si>
    <t>André</t>
  </si>
  <si>
    <t>Véronique</t>
  </si>
  <si>
    <t>Guilbert</t>
  </si>
  <si>
    <t>Astrid</t>
  </si>
  <si>
    <t>Pottier</t>
  </si>
  <si>
    <t>Albert</t>
  </si>
  <si>
    <t>Perrot</t>
  </si>
  <si>
    <t>Lemonnier</t>
  </si>
  <si>
    <t>Anne</t>
  </si>
  <si>
    <t>De Oliveira</t>
  </si>
  <si>
    <t>Mahe</t>
  </si>
  <si>
    <t>Germain</t>
  </si>
  <si>
    <t>Collin</t>
  </si>
  <si>
    <t>Alfred</t>
  </si>
  <si>
    <t>Gérard</t>
  </si>
  <si>
    <t>Lévy</t>
  </si>
  <si>
    <t>Bourdon</t>
  </si>
  <si>
    <t>Frédéric</t>
  </si>
  <si>
    <t>Carre</t>
  </si>
  <si>
    <t>Marty</t>
  </si>
  <si>
    <t>Célina</t>
  </si>
  <si>
    <t>François</t>
  </si>
  <si>
    <t>Alexandrie</t>
  </si>
  <si>
    <t>Guérin</t>
  </si>
  <si>
    <t>Bernard</t>
  </si>
  <si>
    <t>Agnès</t>
  </si>
  <si>
    <t>Lemaître</t>
  </si>
  <si>
    <t>Dijoux</t>
  </si>
  <si>
    <t>Delahaye</t>
  </si>
  <si>
    <t>Jean</t>
  </si>
  <si>
    <t>Gomes</t>
  </si>
  <si>
    <t>Alexandria</t>
  </si>
  <si>
    <t>Rey</t>
  </si>
  <si>
    <t>Honoré</t>
  </si>
  <si>
    <t>Munoz</t>
  </si>
  <si>
    <t>Auguste</t>
  </si>
  <si>
    <t>Dupré</t>
  </si>
  <si>
    <t>Stéphanie</t>
  </si>
  <si>
    <t>Lacroix</t>
  </si>
  <si>
    <t>Nath</t>
  </si>
  <si>
    <t>Leconte</t>
  </si>
  <si>
    <t>Laetitia</t>
  </si>
  <si>
    <t>Hoarau</t>
  </si>
  <si>
    <t>Diaz</t>
  </si>
  <si>
    <t>Marine</t>
  </si>
  <si>
    <t>Le Roux</t>
  </si>
  <si>
    <t>Colette</t>
  </si>
  <si>
    <t>Lenoir</t>
  </si>
  <si>
    <t>Caron</t>
  </si>
  <si>
    <t>Colas</t>
  </si>
  <si>
    <t>Moreno</t>
  </si>
  <si>
    <t>Joly</t>
  </si>
  <si>
    <t>Roussel</t>
  </si>
  <si>
    <t>Valette</t>
  </si>
  <si>
    <t>Olivie</t>
  </si>
  <si>
    <t>Eugène</t>
  </si>
  <si>
    <t>Rousseau</t>
  </si>
  <si>
    <t>Stéphane</t>
  </si>
  <si>
    <t>Morin</t>
  </si>
  <si>
    <t>Mallet</t>
  </si>
  <si>
    <t>Alain</t>
  </si>
  <si>
    <t>Fleury</t>
  </si>
  <si>
    <t>Poirier</t>
  </si>
  <si>
    <t>Da Costa</t>
  </si>
  <si>
    <t>Christelle</t>
  </si>
  <si>
    <t>Schmitt</t>
  </si>
  <si>
    <t>Pénélope</t>
  </si>
  <si>
    <t>Chauvin</t>
  </si>
  <si>
    <t>Théodore</t>
  </si>
  <si>
    <t>Léon</t>
  </si>
  <si>
    <t>Costa</t>
  </si>
  <si>
    <t>Evrard</t>
  </si>
  <si>
    <t>Rémy</t>
  </si>
  <si>
    <t>Hamel</t>
  </si>
  <si>
    <t>Coste</t>
  </si>
  <si>
    <t>Rossi</t>
  </si>
  <si>
    <t>Paulette</t>
  </si>
  <si>
    <t>Poulain</t>
  </si>
  <si>
    <t>Aurore</t>
  </si>
  <si>
    <t>Perez</t>
  </si>
  <si>
    <t>Bailly</t>
  </si>
  <si>
    <t>Brigitte</t>
  </si>
  <si>
    <t>Garcia</t>
  </si>
  <si>
    <t>Laure</t>
  </si>
  <si>
    <t>Odette</t>
  </si>
  <si>
    <t>Carpentier</t>
  </si>
  <si>
    <t>Michaud</t>
  </si>
  <si>
    <t>Nicole</t>
  </si>
  <si>
    <t>Rodrigues</t>
  </si>
  <si>
    <t>Laurence</t>
  </si>
  <si>
    <t>Boulay</t>
  </si>
  <si>
    <t>Lesage</t>
  </si>
  <si>
    <t>Dumas</t>
  </si>
  <si>
    <t>Boutin</t>
  </si>
  <si>
    <t>Richard</t>
  </si>
  <si>
    <t>Goncalves</t>
  </si>
  <si>
    <t>Imbert</t>
  </si>
  <si>
    <t>Mendès</t>
  </si>
  <si>
    <t>Geneviève</t>
  </si>
  <si>
    <t>Jacquet</t>
  </si>
  <si>
    <t>Antoinette</t>
  </si>
  <si>
    <t>Seguin</t>
  </si>
  <si>
    <t>Maryse</t>
  </si>
  <si>
    <t>Breton</t>
  </si>
  <si>
    <t>Lambert</t>
  </si>
  <si>
    <t>Blin</t>
  </si>
  <si>
    <t>Dubois</t>
  </si>
  <si>
    <t>Gilles</t>
  </si>
  <si>
    <t>Le Gall</t>
  </si>
  <si>
    <t>Monique</t>
  </si>
  <si>
    <t>Huet</t>
  </si>
  <si>
    <t>Pasquier</t>
  </si>
  <si>
    <t>Andrée</t>
  </si>
  <si>
    <t>Leroux</t>
  </si>
  <si>
    <t>Lemaire</t>
  </si>
  <si>
    <t>Jacqueline</t>
  </si>
  <si>
    <t>Carlier</t>
  </si>
  <si>
    <t>Menard</t>
  </si>
  <si>
    <t>Étienne</t>
  </si>
  <si>
    <t>Hardy</t>
  </si>
  <si>
    <t>Daniel</t>
  </si>
  <si>
    <t>Hugues</t>
  </si>
  <si>
    <t>Joseph</t>
  </si>
  <si>
    <t>Guillot</t>
  </si>
  <si>
    <t>Lelièvre</t>
  </si>
  <si>
    <t>Schneider</t>
  </si>
  <si>
    <t>Letellier</t>
  </si>
  <si>
    <t>Michelle</t>
  </si>
  <si>
    <t>Inès</t>
  </si>
  <si>
    <t>Lombard</t>
  </si>
  <si>
    <t>Luce</t>
  </si>
  <si>
    <t>Renard</t>
  </si>
  <si>
    <t>Dominique</t>
  </si>
  <si>
    <t>Fontaine</t>
  </si>
  <si>
    <t>Weiss</t>
  </si>
  <si>
    <t>Gros</t>
  </si>
  <si>
    <t>Sauvage</t>
  </si>
  <si>
    <t>Aimé</t>
  </si>
  <si>
    <t>Tessier</t>
  </si>
  <si>
    <t>Mace</t>
  </si>
  <si>
    <t>Chantal</t>
  </si>
  <si>
    <t>Giraud</t>
  </si>
  <si>
    <t>Virginie</t>
  </si>
  <si>
    <t>Toussaint</t>
  </si>
  <si>
    <t>Leroy</t>
  </si>
  <si>
    <t>Susan</t>
  </si>
  <si>
    <t>Martins</t>
  </si>
  <si>
    <t>Da Silva</t>
  </si>
  <si>
    <t>Meunier</t>
  </si>
  <si>
    <t>Dos Santos</t>
  </si>
  <si>
    <t>Collet</t>
  </si>
  <si>
    <t>Lamy</t>
  </si>
  <si>
    <t>Édouard</t>
  </si>
  <si>
    <t>Techer</t>
  </si>
  <si>
    <t>Jacob</t>
  </si>
  <si>
    <t>Jeannine</t>
  </si>
  <si>
    <t>Laporte</t>
  </si>
  <si>
    <t>Vaillant</t>
  </si>
  <si>
    <t>Christine</t>
  </si>
  <si>
    <t>Regnier</t>
  </si>
  <si>
    <t>Catherine</t>
  </si>
  <si>
    <t>Peltier</t>
  </si>
  <si>
    <t>Ribeiro</t>
  </si>
  <si>
    <t>Joubert</t>
  </si>
  <si>
    <t>Roche</t>
  </si>
  <si>
    <t>Isaac</t>
  </si>
  <si>
    <t>Franck</t>
  </si>
  <si>
    <t>Faivre</t>
  </si>
  <si>
    <t>Allard</t>
  </si>
  <si>
    <t>Bertin</t>
  </si>
  <si>
    <t>Frédérique</t>
  </si>
  <si>
    <t>Pages</t>
  </si>
  <si>
    <t>Sanchez</t>
  </si>
  <si>
    <t>Torres</t>
  </si>
  <si>
    <t>Blanchet</t>
  </si>
  <si>
    <t>Chevallier</t>
  </si>
  <si>
    <t>Josette</t>
  </si>
  <si>
    <t>Chrétien</t>
  </si>
  <si>
    <t>Samson</t>
  </si>
  <si>
    <t>Lacombe</t>
  </si>
  <si>
    <t>Patricia</t>
  </si>
  <si>
    <t>Perrier</t>
  </si>
  <si>
    <t>Berthelot</t>
  </si>
  <si>
    <t>Grenier</t>
  </si>
  <si>
    <t>Bègue</t>
  </si>
  <si>
    <t>Rodriguez</t>
  </si>
  <si>
    <t>Leclercq</t>
  </si>
  <si>
    <t>Adèle</t>
  </si>
  <si>
    <t>Gonzalez</t>
  </si>
  <si>
    <t>Bodin</t>
  </si>
  <si>
    <t>Delmas</t>
  </si>
  <si>
    <t>Bouvet</t>
  </si>
  <si>
    <t>Ramos</t>
  </si>
  <si>
    <t>Danielle</t>
  </si>
  <si>
    <t>Allain</t>
  </si>
  <si>
    <t>Pereira</t>
  </si>
  <si>
    <t>Barthelemy</t>
  </si>
  <si>
    <t>Meyer</t>
  </si>
  <si>
    <t>Charrier</t>
  </si>
  <si>
    <t>Teixeira</t>
  </si>
  <si>
    <t>Noémi</t>
  </si>
  <si>
    <t>Gay</t>
  </si>
  <si>
    <t>Alphonse</t>
  </si>
  <si>
    <t>Hoareau</t>
  </si>
  <si>
    <t>Lorraine</t>
  </si>
  <si>
    <t>Audrey</t>
  </si>
  <si>
    <t>Pruvost</t>
  </si>
  <si>
    <t>Marchand</t>
  </si>
  <si>
    <t>Laroche</t>
  </si>
  <si>
    <t>Roger</t>
  </si>
  <si>
    <t>Vallet</t>
  </si>
  <si>
    <t>Klein</t>
  </si>
  <si>
    <t>Benoit</t>
  </si>
  <si>
    <t>Martineau</t>
  </si>
  <si>
    <t>Fernandes</t>
  </si>
  <si>
    <t>Pascal</t>
  </si>
  <si>
    <t>Guibert</t>
  </si>
  <si>
    <t>Maury</t>
  </si>
  <si>
    <t>Normand</t>
  </si>
  <si>
    <t>Claudine</t>
  </si>
  <si>
    <t>Bertrand</t>
  </si>
  <si>
    <t>Prévost</t>
  </si>
  <si>
    <t>Pauline</t>
  </si>
  <si>
    <t>Weber</t>
  </si>
  <si>
    <t>Éléonore</t>
  </si>
  <si>
    <t>Henri</t>
  </si>
  <si>
    <t>Potier</t>
  </si>
  <si>
    <t>Denise</t>
  </si>
  <si>
    <t>Renaud</t>
  </si>
  <si>
    <t>Lopes</t>
  </si>
  <si>
    <t>Garnier</t>
  </si>
  <si>
    <t>Bousquet</t>
  </si>
  <si>
    <t>Claire</t>
  </si>
  <si>
    <t>Fernandez</t>
  </si>
  <si>
    <t>Duval</t>
  </si>
  <si>
    <t>Barre</t>
  </si>
  <si>
    <t>Leduc</t>
  </si>
  <si>
    <t>Hélène</t>
  </si>
  <si>
    <t>Payet</t>
  </si>
  <si>
    <t>Bruneau</t>
  </si>
  <si>
    <t>Guillon</t>
  </si>
  <si>
    <t>Gaillard</t>
  </si>
  <si>
    <t>Élisabeth</t>
  </si>
  <si>
    <t>Buisson</t>
  </si>
  <si>
    <t>Gabrielle</t>
  </si>
  <si>
    <t>Guy</t>
  </si>
  <si>
    <t>Voisin</t>
  </si>
  <si>
    <t>Hervé</t>
  </si>
  <si>
    <t>Jacquot</t>
  </si>
  <si>
    <t>Navarro</t>
  </si>
  <si>
    <t>Anastasie</t>
  </si>
  <si>
    <t>Becker</t>
  </si>
  <si>
    <t>Boulanger</t>
  </si>
  <si>
    <t>Bazin</t>
  </si>
  <si>
    <t>Anouk</t>
  </si>
  <si>
    <t>Besnard</t>
  </si>
  <si>
    <t>Nathalie</t>
  </si>
  <si>
    <t>Benard</t>
  </si>
  <si>
    <t>Mercier</t>
  </si>
  <si>
    <t>Roy</t>
  </si>
  <si>
    <t>Team_1</t>
  </si>
  <si>
    <t>Team_2</t>
  </si>
  <si>
    <t>Team_3</t>
  </si>
  <si>
    <t>Team_4</t>
  </si>
  <si>
    <t>Team_5</t>
  </si>
  <si>
    <t>Team_6</t>
  </si>
  <si>
    <t>Team_7</t>
  </si>
  <si>
    <t>Team_8</t>
  </si>
  <si>
    <t>Team_9</t>
  </si>
  <si>
    <t>Team_10</t>
  </si>
  <si>
    <t>Team_11</t>
  </si>
  <si>
    <t>Team_12</t>
  </si>
  <si>
    <t>Team_13</t>
  </si>
  <si>
    <t>Team_14</t>
  </si>
  <si>
    <t>Team_15</t>
  </si>
  <si>
    <t>Team_16</t>
  </si>
  <si>
    <t>Team_17</t>
  </si>
  <si>
    <t>Team_18</t>
  </si>
  <si>
    <t>Team_19</t>
  </si>
  <si>
    <t>Team_20</t>
  </si>
  <si>
    <t>Team_21</t>
  </si>
  <si>
    <t>Team_22</t>
  </si>
  <si>
    <t>Team_23</t>
  </si>
  <si>
    <t>Team_24</t>
  </si>
  <si>
    <t>Team_25</t>
  </si>
  <si>
    <t>Team_26</t>
  </si>
  <si>
    <t>Team_27</t>
  </si>
  <si>
    <t>Team_28</t>
  </si>
  <si>
    <t>Team_29</t>
  </si>
  <si>
    <t>Team_30</t>
  </si>
  <si>
    <t>Team_31</t>
  </si>
  <si>
    <t>Team_32</t>
  </si>
  <si>
    <t>Team_33</t>
  </si>
  <si>
    <t>Team_34</t>
  </si>
  <si>
    <t>Team_35</t>
  </si>
  <si>
    <t>Team_36</t>
  </si>
  <si>
    <t>Team_37</t>
  </si>
  <si>
    <t>Team_38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</si>
</sst>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rgb="FF000000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9" fillId="0" borderId="0" applyNumberFormat="0" applyFill="0" applyBorder="0" applyAlignment="0" applyProtection="0"/>
  </cellStyleXfs>
  <cellXfs count="38">
    <xf numFmtId="0" fontId="0" fillId="0" borderId="0" xfId="0"/>
    <xf numFmtId="0" fontId="6" fillId="0" borderId="0" xfId="0" applyFont="1"/>
    <xf numFmtId="0" fontId="0" fillId="0" borderId="0" xfId="0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8" fillId="0" borderId="0" xfId="0" applyFont="1"/>
    <xf numFmtId="0" fontId="0" fillId="7" borderId="0" xfId="0" applyFill="1"/>
    <xf numFmtId="0" fontId="0" fillId="8" borderId="0" xfId="0" applyFill="1"/>
    <xf numFmtId="0" fontId="5" fillId="0" borderId="0" xfId="1"/>
    <xf numFmtId="0" fontId="4" fillId="0" borderId="1" xfId="0" applyFont="1" applyBorder="1"/>
    <xf numFmtId="0" fontId="4" fillId="0" borderId="0" xfId="1" applyFont="1"/>
    <xf numFmtId="0" fontId="9" fillId="0" borderId="0" xfId="2"/>
    <xf numFmtId="0" fontId="6" fillId="8" borderId="0" xfId="0" applyFont="1" applyFill="1"/>
    <xf numFmtId="0" fontId="4" fillId="0" borderId="1" xfId="1" applyFont="1" applyBorder="1"/>
    <xf numFmtId="0" fontId="0" fillId="9" borderId="0" xfId="0" applyFill="1"/>
    <xf numFmtId="0" fontId="0" fillId="10" borderId="0" xfId="0" applyFill="1"/>
    <xf numFmtId="0" fontId="6" fillId="10" borderId="0" xfId="0" applyFont="1" applyFill="1"/>
    <xf numFmtId="0" fontId="0" fillId="11" borderId="2" xfId="0" applyFill="1" applyBorder="1"/>
    <xf numFmtId="0" fontId="6" fillId="12" borderId="2" xfId="0" applyFont="1" applyFill="1" applyBorder="1"/>
    <xf numFmtId="0" fontId="6" fillId="11" borderId="2" xfId="0" applyFont="1" applyFill="1" applyBorder="1"/>
    <xf numFmtId="0" fontId="0" fillId="12" borderId="2" xfId="0" applyFill="1" applyBorder="1"/>
    <xf numFmtId="0" fontId="8" fillId="12" borderId="2" xfId="0" applyFont="1" applyFill="1" applyBorder="1"/>
    <xf numFmtId="0" fontId="6" fillId="13" borderId="2" xfId="0" applyFont="1" applyFill="1" applyBorder="1"/>
    <xf numFmtId="0" fontId="0" fillId="13" borderId="2" xfId="0" applyFill="1" applyBorder="1"/>
    <xf numFmtId="1" fontId="5" fillId="0" borderId="0" xfId="1" applyNumberFormat="1" applyAlignment="1">
      <alignment horizontal="right"/>
    </xf>
    <xf numFmtId="1" fontId="0" fillId="0" borderId="0" xfId="0" applyNumberFormat="1" applyAlignment="1">
      <alignment horizontal="right"/>
    </xf>
    <xf numFmtId="0" fontId="3" fillId="0" borderId="1" xfId="0" applyFont="1" applyBorder="1"/>
    <xf numFmtId="0" fontId="3" fillId="0" borderId="1" xfId="1" applyFont="1" applyBorder="1"/>
    <xf numFmtId="0" fontId="2" fillId="0" borderId="1" xfId="1" applyFont="1" applyBorder="1"/>
    <xf numFmtId="0" fontId="6" fillId="0" borderId="0" xfId="0" applyFont="1" applyAlignment="1">
      <alignment horizontal="center" vertical="center" wrapText="1"/>
    </xf>
    <xf numFmtId="0" fontId="1" fillId="0" borderId="1" xfId="0" applyFont="1" applyBorder="1"/>
    <xf numFmtId="0" fontId="6" fillId="12" borderId="2" xfId="0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14" borderId="0" xfId="0" applyFill="1"/>
  </cellXfs>
  <cellStyles count="3">
    <cellStyle name="Hyperlink" xfId="2" builtinId="8"/>
    <cellStyle name="Normal" xfId="0" builtinId="0"/>
    <cellStyle name="Normal 2" xfId="1" xr:uid="{3613579D-6C00-4EB4-B932-701B464C48F5}"/>
  </cellStyles>
  <dxfs count="39">
    <dxf>
      <fill>
        <patternFill patternType="solid">
          <fgColor indexed="64"/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 tint="-0.249977111117893"/>
        </patternFill>
      </fill>
    </dxf>
    <dxf>
      <numFmt numFmtId="0" formatCode="General"/>
    </dxf>
    <dxf>
      <numFmt numFmtId="0" formatCode="General"/>
    </dxf>
    <dxf>
      <font>
        <b/>
        <family val="2"/>
      </font>
    </dxf>
    <dxf>
      <font>
        <b/>
        <family val="2"/>
      </font>
    </dxf>
    <dxf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20955</xdr:rowOff>
    </xdr:from>
    <xdr:to>
      <xdr:col>1</xdr:col>
      <xdr:colOff>786765</xdr:colOff>
      <xdr:row>20</xdr:row>
      <xdr:rowOff>177165</xdr:rowOff>
    </xdr:to>
    <xdr:sp macro="[0]!Synthese" textlink="">
      <xdr:nvSpPr>
        <xdr:cNvPr id="41" name="Rectangle 40">
          <a:extLst>
            <a:ext uri="{FF2B5EF4-FFF2-40B4-BE49-F238E27FC236}">
              <a16:creationId xmlns:a16="http://schemas.microsoft.com/office/drawing/2014/main" id="{1C32A3B1-74A4-E8D1-7B91-6ED29144BD6D}"/>
            </a:ext>
          </a:extLst>
        </xdr:cNvPr>
        <xdr:cNvSpPr/>
      </xdr:nvSpPr>
      <xdr:spPr>
        <a:xfrm>
          <a:off x="0" y="3459480"/>
          <a:ext cx="1577340" cy="33718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/>
            <a:t>Synthèse (après Solveur)</a:t>
          </a:r>
        </a:p>
      </xdr:txBody>
    </xdr:sp>
    <xdr:clientData/>
  </xdr:twoCellAnchor>
  <xdr:twoCellAnchor editAs="oneCell">
    <xdr:from>
      <xdr:col>47</xdr:col>
      <xdr:colOff>148566</xdr:colOff>
      <xdr:row>1</xdr:row>
      <xdr:rowOff>72279</xdr:rowOff>
    </xdr:from>
    <xdr:to>
      <xdr:col>56</xdr:col>
      <xdr:colOff>516986</xdr:colOff>
      <xdr:row>32</xdr:row>
      <xdr:rowOff>173243</xdr:rowOff>
    </xdr:to>
    <xdr:pic>
      <xdr:nvPicPr>
        <xdr:cNvPr id="55" name="Image 54">
          <a:extLst>
            <a:ext uri="{FF2B5EF4-FFF2-40B4-BE49-F238E27FC236}">
              <a16:creationId xmlns:a16="http://schemas.microsoft.com/office/drawing/2014/main" id="{0E1017FD-972C-A13D-8450-DCEC9FD51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957648" y="251573"/>
          <a:ext cx="7476087" cy="566289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8</xdr:row>
      <xdr:rowOff>0</xdr:rowOff>
    </xdr:from>
    <xdr:to>
      <xdr:col>42</xdr:col>
      <xdr:colOff>0</xdr:colOff>
      <xdr:row>17</xdr:row>
      <xdr:rowOff>0</xdr:rowOff>
    </xdr:to>
    <xdr:sp macro="" textlink="">
      <xdr:nvSpPr>
        <xdr:cNvPr id="102" name="OpenSolver1">
          <a:extLst>
            <a:ext uri="{FF2B5EF4-FFF2-40B4-BE49-F238E27FC236}">
              <a16:creationId xmlns:a16="http://schemas.microsoft.com/office/drawing/2014/main" id="{C37868E7-F44E-EF94-45E4-90AB5B7E855B}"/>
            </a:ext>
          </a:extLst>
        </xdr:cNvPr>
        <xdr:cNvSpPr/>
      </xdr:nvSpPr>
      <xdr:spPr>
        <a:xfrm>
          <a:off x="5962650" y="1524000"/>
          <a:ext cx="26231850" cy="1714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03" name="OpenSolver2">
          <a:extLst>
            <a:ext uri="{FF2B5EF4-FFF2-40B4-BE49-F238E27FC236}">
              <a16:creationId xmlns:a16="http://schemas.microsoft.com/office/drawing/2014/main" id="{EDA699A6-37EF-2279-C9E0-BF538C126012}"/>
            </a:ext>
          </a:extLst>
        </xdr:cNvPr>
        <xdr:cNvSpPr/>
      </xdr:nvSpPr>
      <xdr:spPr>
        <a:xfrm>
          <a:off x="838200" y="1524000"/>
          <a:ext cx="1200150" cy="171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104" name="OpenSolver3">
          <a:extLst>
            <a:ext uri="{FF2B5EF4-FFF2-40B4-BE49-F238E27FC236}">
              <a16:creationId xmlns:a16="http://schemas.microsoft.com/office/drawing/2014/main" id="{8E4C4ADE-CC05-F52D-845A-57A0A4156744}"/>
            </a:ext>
          </a:extLst>
        </xdr:cNvPr>
        <xdr:cNvSpPr/>
      </xdr:nvSpPr>
      <xdr:spPr>
        <a:xfrm>
          <a:off x="2876550" y="1524000"/>
          <a:ext cx="771525" cy="171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12</xdr:row>
      <xdr:rowOff>95250</xdr:rowOff>
    </xdr:from>
    <xdr:to>
      <xdr:col>4</xdr:col>
      <xdr:colOff>0</xdr:colOff>
      <xdr:row>12</xdr:row>
      <xdr:rowOff>95250</xdr:rowOff>
    </xdr:to>
    <xdr:cxnSp macro="">
      <xdr:nvCxnSpPr>
        <xdr:cNvPr id="105" name="OpenSolver4">
          <a:extLst>
            <a:ext uri="{FF2B5EF4-FFF2-40B4-BE49-F238E27FC236}">
              <a16:creationId xmlns:a16="http://schemas.microsoft.com/office/drawing/2014/main" id="{050BFA59-EEA4-EE30-04BB-8528199AC295}"/>
            </a:ext>
          </a:extLst>
        </xdr:cNvPr>
        <xdr:cNvCxnSpPr>
          <a:stCxn id="103" idx="3"/>
          <a:endCxn id="104" idx="1"/>
        </xdr:cNvCxnSpPr>
      </xdr:nvCxnSpPr>
      <xdr:spPr>
        <a:xfrm>
          <a:off x="2038350" y="2381250"/>
          <a:ext cx="8382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228600</xdr:colOff>
      <xdr:row>11</xdr:row>
      <xdr:rowOff>158750</xdr:rowOff>
    </xdr:from>
    <xdr:to>
      <xdr:col>2</xdr:col>
      <xdr:colOff>609600</xdr:colOff>
      <xdr:row>13</xdr:row>
      <xdr:rowOff>31750</xdr:rowOff>
    </xdr:to>
    <xdr:sp macro="" textlink="">
      <xdr:nvSpPr>
        <xdr:cNvPr id="106" name="OpenSolver5">
          <a:extLst>
            <a:ext uri="{FF2B5EF4-FFF2-40B4-BE49-F238E27FC236}">
              <a16:creationId xmlns:a16="http://schemas.microsoft.com/office/drawing/2014/main" id="{1ECEFACD-7840-FDCE-E4BB-D7A84647CB3D}"/>
            </a:ext>
          </a:extLst>
        </xdr:cNvPr>
        <xdr:cNvSpPr/>
      </xdr:nvSpPr>
      <xdr:spPr>
        <a:xfrm>
          <a:off x="2266950" y="22542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107" name="OpenSolverI20:AP20">
          <a:extLst>
            <a:ext uri="{FF2B5EF4-FFF2-40B4-BE49-F238E27FC236}">
              <a16:creationId xmlns:a16="http://schemas.microsoft.com/office/drawing/2014/main" id="{42742577-E53E-88FB-830A-9CDEDEF6FE0D}"/>
            </a:ext>
          </a:extLst>
        </xdr:cNvPr>
        <xdr:cNvSpPr/>
      </xdr:nvSpPr>
      <xdr:spPr>
        <a:xfrm>
          <a:off x="5962650" y="3619500"/>
          <a:ext cx="262318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8000"/>
              </a:solidFill>
            </a:rPr>
            <a:t>1=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08" name="OpenSolverF9:F17">
          <a:extLst>
            <a:ext uri="{FF2B5EF4-FFF2-40B4-BE49-F238E27FC236}">
              <a16:creationId xmlns:a16="http://schemas.microsoft.com/office/drawing/2014/main" id="{1B38A2CC-3233-B0F0-4160-08051A57F0CD}"/>
            </a:ext>
          </a:extLst>
        </xdr:cNvPr>
        <xdr:cNvSpPr/>
      </xdr:nvSpPr>
      <xdr:spPr>
        <a:xfrm>
          <a:off x="3648075" y="1524000"/>
          <a:ext cx="771525" cy="1714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9900CC"/>
              </a:solidFill>
            </a:rPr>
            <a:t>2≥,-2≤</a:t>
          </a: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17</xdr:row>
      <xdr:rowOff>0</xdr:rowOff>
    </xdr:to>
    <xdr:sp macro="" textlink="">
      <xdr:nvSpPr>
        <xdr:cNvPr id="109" name="OpenSolverG9:G17">
          <a:extLst>
            <a:ext uri="{FF2B5EF4-FFF2-40B4-BE49-F238E27FC236}">
              <a16:creationId xmlns:a16="http://schemas.microsoft.com/office/drawing/2014/main" id="{654591A3-E4EF-74EC-A8E9-50EB7068D89E}"/>
            </a:ext>
          </a:extLst>
        </xdr:cNvPr>
        <xdr:cNvSpPr/>
      </xdr:nvSpPr>
      <xdr:spPr>
        <a:xfrm>
          <a:off x="4419600" y="1524000"/>
          <a:ext cx="771525" cy="1714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CC33"/>
              </a:solidFill>
            </a:rPr>
            <a:t>10≥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0" name="OpenSolverH9:H17">
          <a:extLst>
            <a:ext uri="{FF2B5EF4-FFF2-40B4-BE49-F238E27FC236}">
              <a16:creationId xmlns:a16="http://schemas.microsoft.com/office/drawing/2014/main" id="{33A2A2C4-CD8B-E75A-2BFD-2C342E204D40}"/>
            </a:ext>
          </a:extLst>
        </xdr:cNvPr>
        <xdr:cNvSpPr/>
      </xdr:nvSpPr>
      <xdr:spPr>
        <a:xfrm>
          <a:off x="5191125" y="1524000"/>
          <a:ext cx="771525" cy="1714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FF6600"/>
              </a:solidFill>
            </a:rPr>
            <a:t>6≤</a:t>
          </a:r>
        </a:p>
      </xdr:txBody>
    </xdr:sp>
    <xdr:clientData/>
  </xdr:twoCellAnchor>
  <xdr:twoCellAnchor>
    <xdr:from>
      <xdr:col>8</xdr:col>
      <xdr:colOff>12700</xdr:colOff>
      <xdr:row>8</xdr:row>
      <xdr:rowOff>12700</xdr:rowOff>
    </xdr:from>
    <xdr:to>
      <xdr:col>42</xdr:col>
      <xdr:colOff>0</xdr:colOff>
      <xdr:row>17</xdr:row>
      <xdr:rowOff>0</xdr:rowOff>
    </xdr:to>
    <xdr:sp macro="" textlink="">
      <xdr:nvSpPr>
        <xdr:cNvPr id="111" name="OpenSolver11">
          <a:extLst>
            <a:ext uri="{FF2B5EF4-FFF2-40B4-BE49-F238E27FC236}">
              <a16:creationId xmlns:a16="http://schemas.microsoft.com/office/drawing/2014/main" id="{AE93EC43-BAE0-AD8F-4D50-A8CBEC51AAC3}"/>
            </a:ext>
          </a:extLst>
        </xdr:cNvPr>
        <xdr:cNvSpPr/>
      </xdr:nvSpPr>
      <xdr:spPr>
        <a:xfrm>
          <a:off x="5975350" y="1536700"/>
          <a:ext cx="26219150" cy="1701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6350</xdr:colOff>
      <xdr:row>7</xdr:row>
      <xdr:rowOff>127000</xdr:rowOff>
    </xdr:from>
    <xdr:to>
      <xdr:col>8</xdr:col>
      <xdr:colOff>327592</xdr:colOff>
      <xdr:row>8</xdr:row>
      <xdr:rowOff>63500</xdr:rowOff>
    </xdr:to>
    <xdr:sp macro="" textlink="">
      <xdr:nvSpPr>
        <xdr:cNvPr id="112" name="OpenSolver12">
          <a:extLst>
            <a:ext uri="{FF2B5EF4-FFF2-40B4-BE49-F238E27FC236}">
              <a16:creationId xmlns:a16="http://schemas.microsoft.com/office/drawing/2014/main" id="{C307426E-A76A-A187-408B-5702752220A5}"/>
            </a:ext>
          </a:extLst>
        </xdr:cNvPr>
        <xdr:cNvSpPr/>
      </xdr:nvSpPr>
      <xdr:spPr>
        <a:xfrm>
          <a:off x="5969000" y="14605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binary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DADF31-3623-4FD4-B55C-8E42792891C0}" name="Tableau1" displayName="Tableau1" ref="A1:P544" totalsRowCount="1" headerRowDxfId="38">
  <autoFilter ref="A1:P543" xr:uid="{D8DADF31-3623-4FD4-B55C-8E42792891C0}"/>
  <sortState xmlns:xlrd2="http://schemas.microsoft.com/office/spreadsheetml/2017/richdata2" ref="A2:P543">
    <sortCondition ref="C1:C543"/>
  </sortState>
  <tableColumns count="16">
    <tableColumn id="1" xr3:uid="{A5F20948-B549-442E-92A4-BB8D001E8688}" name="N° Etu"/>
    <tableColumn id="2" xr3:uid="{A54261A7-7310-45DB-B7A2-CDF693801602}" name="Prénom"/>
    <tableColumn id="3" xr3:uid="{A5602080-9D4D-4A7D-B157-9F54D6BC2CE6}" name="Nom"/>
    <tableColumn id="4" xr3:uid="{5C202A19-FE80-48E0-BD22-8307350D5818}" name="Mail"/>
    <tableColumn id="5" xr3:uid="{131E217D-38C3-43BE-8C53-4F86547F1EBA}" name="Phone"/>
    <tableColumn id="6" xr3:uid="{15DD8A88-E05E-4B29-8229-5DEA1B0EBCB1}" name="Nouveaux"/>
    <tableColumn id="7" xr3:uid="{93E153C4-E166-4774-8F76-0C7B15A44D45}" name="CE (Site)"/>
    <tableColumn id="9" xr3:uid="{C1356CCC-133C-439B-BED3-ADFF27103AF2}" name="N° Equipe"/>
    <tableColumn id="10" xr3:uid="{3008811F-F76E-4216-AE77-F2C548D4B723}" name="Orga"/>
    <tableColumn id="11" xr3:uid="{9C36AFB2-B5BC-4BD7-894B-B5268C7DCCD7}" name="Mission"/>
    <tableColumn id="13" xr3:uid="{71AA3AE3-C944-4A3B-BC9D-69FE247F86C8}" name="Majeur" dataDxfId="37"/>
    <tableColumn id="14" xr3:uid="{CFBCC4FB-5A02-4985-ADC0-86EF90159E04}" name="BUS (Manuel)" dataDxfId="36" totalsRowDxfId="4"/>
    <tableColumn id="12" xr3:uid="{1FAA893A-9C4F-4807-8741-C30B5571B224}" name="Respo (Manuel)" dataDxfId="35" totalsRowDxfId="3"/>
    <tableColumn id="15" xr3:uid="{6F0A476E-5E72-4730-B57C-7D3B03EB46BD}" name="Concat respo" dataDxfId="34" totalsRowDxfId="2">
      <calculatedColumnFormula>_xlfn.CONCAT(Tableau1[[#This Row],[BUS (Manuel)]],Tableau1[[#This Row],[Respo (Manuel)]])</calculatedColumnFormula>
    </tableColumn>
    <tableColumn id="16" xr3:uid="{01928468-AEB0-459D-AA4E-FC3572FCEE53}" name="Concat NP" dataDxfId="33" totalsRowDxfId="1">
      <calculatedColumnFormula>_xlfn.CONCAT(B2, " ", C2)</calculatedColumnFormula>
    </tableColumn>
    <tableColumn id="8" xr3:uid="{84344CDA-823E-4670-B64C-43201A5E60DC}" name="ATTRIBUTION BUS FINAL" dataDxfId="32" totalsRowDxfId="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DF25F8-C61C-4E2D-9C4F-101343713CC2}" name="Tableau10" displayName="Tableau10" ref="A1:E84" totalsRowShown="0" headerRowDxfId="31">
  <autoFilter ref="A1:E84" xr:uid="{7ADF25F8-C61C-4E2D-9C4F-101343713CC2}"/>
  <tableColumns count="5">
    <tableColumn id="1" xr3:uid="{20DE990B-5717-4E0C-8C57-6F3CA7D7A21E}" name="Numéro"/>
    <tableColumn id="2" xr3:uid="{794F8ECD-5F29-440C-9698-6A869F7AC850}" name="Prénom" dataDxfId="30"/>
    <tableColumn id="3" xr3:uid="{E679625C-2D83-4469-A2C8-320E5793DD82}" name="Nom" dataDxfId="29"/>
    <tableColumn id="4" xr3:uid="{32FE1D22-5B77-4DF1-90FB-8A2B6132CD92}" name="Aller"/>
    <tableColumn id="5" xr3:uid="{ED73F76D-E333-443D-A8A3-82D21C60E2C0}" name="Retour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2868B0-BA22-49BB-AA9E-0B2AFCC094EB}" name="Tableau9" displayName="Tableau9" ref="A1:E64" totalsRowShown="0" headerRowDxfId="28">
  <autoFilter ref="A1:E64" xr:uid="{042868B0-BA22-49BB-AA9E-0B2AFCC094EB}"/>
  <tableColumns count="5">
    <tableColumn id="1" xr3:uid="{D763D4D0-F4C2-4529-82FF-E46AB426A924}" name="Numéro"/>
    <tableColumn id="2" xr3:uid="{F459F3B3-BBEA-4488-8D9E-D795B01650D7}" name="Prénom" dataDxfId="27"/>
    <tableColumn id="3" xr3:uid="{9ED9DF84-101F-48E7-B532-58AFF93217DD}" name="Nom" dataDxfId="26"/>
    <tableColumn id="4" xr3:uid="{18C39E47-33B9-4674-8867-1781B67D40CA}" name="Aller"/>
    <tableColumn id="5" xr3:uid="{08770004-7565-445C-B06F-6B9D97D71EF6}" name="Retour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52BD14D-47F1-42CB-AC3C-9F3D17C61888}" name="Tableau8" displayName="Tableau8" ref="A1:E68" totalsRowShown="0" headerRowDxfId="25">
  <autoFilter ref="A1:E68" xr:uid="{E52BD14D-47F1-42CB-AC3C-9F3D17C61888}"/>
  <tableColumns count="5">
    <tableColumn id="1" xr3:uid="{EEF9D64F-4ABA-4B67-89DC-F315C5D070B1}" name="Numéro"/>
    <tableColumn id="2" xr3:uid="{BDCB893F-DE89-4FA0-9BCE-1A7854D2A0EC}" name="Prénom" dataDxfId="24"/>
    <tableColumn id="3" xr3:uid="{412CBEC1-BAC2-4B81-9A0B-3E718AA2DD4A}" name="Nom" dataDxfId="23"/>
    <tableColumn id="4" xr3:uid="{1D63A079-3A15-402B-AB2E-BD17FAF463CC}" name="Aller"/>
    <tableColumn id="5" xr3:uid="{E88B675A-9E89-4F28-A41D-9DFACEE31007}" name="Retour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1355ED8-62C2-4328-B6FB-7043574FEE15}" name="Tableau7" displayName="Tableau7" ref="A1:E64" totalsRowShown="0" headerRowDxfId="22">
  <autoFilter ref="A1:E64" xr:uid="{01355ED8-62C2-4328-B6FB-7043574FEE15}"/>
  <tableColumns count="5">
    <tableColumn id="1" xr3:uid="{163540A3-B47F-423B-8743-17CD8BC41EFB}" name="Numéro"/>
    <tableColumn id="2" xr3:uid="{1A23FD70-BF4E-4883-9729-A6F6682BA876}" name="Prénom" dataDxfId="21" dataCellStyle="Normal 2"/>
    <tableColumn id="3" xr3:uid="{9038A813-5F74-40F1-9DEA-4B624736256F}" name="Nom" dataDxfId="20" dataCellStyle="Normal 2"/>
    <tableColumn id="4" xr3:uid="{C07D1472-F86A-44D6-B277-12BEDC77BBBE}" name="Aller"/>
    <tableColumn id="5" xr3:uid="{699A3703-2C17-4E01-8FE9-9E8128E1CC6E}" name="Retour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43EACE-21EB-4184-8FF9-24846AD39CB1}" name="Tableau6" displayName="Tableau6" ref="A1:E60" totalsRowShown="0" headerRowDxfId="19">
  <autoFilter ref="A1:E60" xr:uid="{1343EACE-21EB-4184-8FF9-24846AD39CB1}"/>
  <tableColumns count="5">
    <tableColumn id="1" xr3:uid="{8FAE699B-FB06-4E64-A278-3177A8A620D1}" name="Numéro"/>
    <tableColumn id="2" xr3:uid="{958A6BEC-0814-4C14-B18D-701F1F6E7A32}" name="Prénom" dataDxfId="18"/>
    <tableColumn id="3" xr3:uid="{26CF1F36-BA14-45D2-B2AB-4075F1BF3BC3}" name="Nom" dataDxfId="17"/>
    <tableColumn id="4" xr3:uid="{45B12C58-B889-4449-8D29-0CA6DDD02987}" name="Aller"/>
    <tableColumn id="5" xr3:uid="{DE66CCB7-8C6A-46D4-80E8-78BCD120001E}" name="Retour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75BE20-7852-4DDF-8C71-DD6D6F4B1E2A}" name="Tableau5" displayName="Tableau5" ref="A1:E63" totalsRowShown="0" headerRowDxfId="16">
  <autoFilter ref="A1:E63" xr:uid="{D575BE20-7852-4DDF-8C71-DD6D6F4B1E2A}"/>
  <tableColumns count="5">
    <tableColumn id="1" xr3:uid="{08DE1131-D266-406F-A74F-E8070A705D47}" name="Numéro"/>
    <tableColumn id="2" xr3:uid="{5D02BD3F-4F85-4DC4-B948-DE537495FABA}" name="Prénom" dataDxfId="15" dataCellStyle="Normal 2"/>
    <tableColumn id="3" xr3:uid="{A59C0215-1D0A-4C43-AE0C-6BB59376E0A8}" name="Nom" dataDxfId="14" dataCellStyle="Normal 2"/>
    <tableColumn id="4" xr3:uid="{50782456-EE40-4A83-BFB3-AE8936339944}" name="Aller"/>
    <tableColumn id="5" xr3:uid="{279C25BC-1F0F-4751-B710-6D1A8B601753}" name="Retour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77CCC6-0AA1-4E26-BAF0-D117FFDA9BAF}" name="Tableau4" displayName="Tableau4" ref="A1:E58" totalsRowShown="0" headerRowDxfId="13">
  <autoFilter ref="A1:E58" xr:uid="{7E77CCC6-0AA1-4E26-BAF0-D117FFDA9BAF}"/>
  <tableColumns count="5">
    <tableColumn id="1" xr3:uid="{8853B8E8-A8F5-4975-A222-9B344B3C5693}" name="Numéro"/>
    <tableColumn id="2" xr3:uid="{92BE03F2-A02D-4182-82AE-60AB34558172}" name="Prénom" dataDxfId="12"/>
    <tableColumn id="3" xr3:uid="{81C7B844-B67B-4CBF-965C-ADE26C6A58F6}" name="Nom" dataDxfId="11"/>
    <tableColumn id="4" xr3:uid="{2ACD206C-3D65-4378-A0DE-931DEA760D6C}" name="Aller"/>
    <tableColumn id="5" xr3:uid="{B6EEAEBB-683E-47E6-AC7B-0E93E5C66054}" name="Retour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D536B53-6460-4621-A8D1-3CE8FC8F1576}" name="Tableau3" displayName="Tableau3" ref="A1:E62" totalsRowShown="0" headerRowDxfId="10">
  <autoFilter ref="A1:E62" xr:uid="{1D536B53-6460-4621-A8D1-3CE8FC8F1576}"/>
  <tableColumns count="5">
    <tableColumn id="1" xr3:uid="{C2436289-DECB-4902-BB6D-256FDE5E13D4}" name="Numéro"/>
    <tableColumn id="2" xr3:uid="{B0649D2F-3941-414A-AEB8-C05323F85342}" name="Prénom" dataDxfId="9" dataCellStyle="Normal 2"/>
    <tableColumn id="3" xr3:uid="{EAD31F3C-6C7D-48DA-976E-A736B45ECFF5}" name="Nom" dataDxfId="8" dataCellStyle="Normal 2"/>
    <tableColumn id="4" xr3:uid="{7DB6B849-5F6F-4E25-AEB6-1EA8FA8E0DB5}" name="Aller"/>
    <tableColumn id="5" xr3:uid="{0032A14B-0DB5-4B90-92B0-4E720AF73FBC}" name="Retour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20A74A-02BD-4FE9-94C9-B40E0110E381}" name="Tableau2" displayName="Tableau2" ref="A1:E55" totalsRowShown="0" headerRowDxfId="7">
  <autoFilter ref="A1:E55" xr:uid="{4720A74A-02BD-4FE9-94C9-B40E0110E381}"/>
  <tableColumns count="5">
    <tableColumn id="1" xr3:uid="{6886E082-CC43-4C5C-9E79-A2566E19DB34}" name="Numéro"/>
    <tableColumn id="2" xr3:uid="{E123E622-2140-4CA5-AD93-C9F167CF3E9B}" name="Prénom" dataDxfId="6"/>
    <tableColumn id="3" xr3:uid="{467715D4-3130-43CB-9990-BE1CB822BE43}" name="Nom" dataDxfId="5"/>
    <tableColumn id="4" xr3:uid="{859DC7C6-439E-4A00-A2AC-68D987DC8057}" name="Aller"/>
    <tableColumn id="5" xr3:uid="{C84B33C4-A5DE-4B06-BB86-58C2BFC887C1}" name="Retou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erome.nicaud@utt.fr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B0544-7ED4-401D-9EE3-C2A52E9E00A2}">
  <sheetPr codeName="Feuil7"/>
  <dimension ref="B5:C13"/>
  <sheetViews>
    <sheetView workbookViewId="0">
      <selection activeCell="D27" sqref="D27"/>
    </sheetView>
  </sheetViews>
  <sheetFormatPr defaultColWidth="10.6640625" defaultRowHeight="14.25" x14ac:dyDescent="0.45"/>
  <sheetData>
    <row r="5" spans="2:3" x14ac:dyDescent="0.45">
      <c r="B5" s="1" t="s">
        <v>18</v>
      </c>
    </row>
    <row r="6" spans="2:3" x14ac:dyDescent="0.45">
      <c r="B6">
        <v>1</v>
      </c>
      <c r="C6" s="1" t="s">
        <v>19</v>
      </c>
    </row>
    <row r="7" spans="2:3" x14ac:dyDescent="0.45">
      <c r="B7">
        <v>2</v>
      </c>
      <c r="C7" s="1" t="s">
        <v>20</v>
      </c>
    </row>
    <row r="8" spans="2:3" x14ac:dyDescent="0.45">
      <c r="B8">
        <v>3</v>
      </c>
      <c r="C8" s="1" t="s">
        <v>23</v>
      </c>
    </row>
    <row r="9" spans="2:3" x14ac:dyDescent="0.45">
      <c r="B9">
        <v>4</v>
      </c>
      <c r="C9" s="1" t="s">
        <v>27</v>
      </c>
    </row>
    <row r="10" spans="2:3" x14ac:dyDescent="0.45">
      <c r="B10">
        <v>5</v>
      </c>
      <c r="C10" s="1" t="s">
        <v>31</v>
      </c>
    </row>
    <row r="11" spans="2:3" x14ac:dyDescent="0.45">
      <c r="B11">
        <v>6</v>
      </c>
      <c r="C11" s="1" t="s">
        <v>32</v>
      </c>
    </row>
    <row r="12" spans="2:3" x14ac:dyDescent="0.45">
      <c r="B12">
        <v>7</v>
      </c>
      <c r="C12" s="1" t="s">
        <v>33</v>
      </c>
    </row>
    <row r="13" spans="2:3" x14ac:dyDescent="0.45">
      <c r="B13">
        <v>8</v>
      </c>
      <c r="C13" s="1" t="s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3D4D2-06E6-4B3E-873B-24A4F1FBC4C6}">
  <sheetPr codeName="Feuil4"/>
  <dimension ref="A1:S544"/>
  <sheetViews>
    <sheetView topLeftCell="A228" workbookViewId="0">
      <selection activeCell="I230" sqref="I230"/>
    </sheetView>
  </sheetViews>
  <sheetFormatPr defaultColWidth="10.6640625" defaultRowHeight="14.25" x14ac:dyDescent="0.45"/>
  <cols>
    <col min="3" max="3" width="27.1328125" bestFit="1" customWidth="1"/>
    <col min="4" max="5" width="11.59765625" hidden="1" customWidth="1"/>
    <col min="6" max="11" width="11.59765625" customWidth="1"/>
    <col min="12" max="13" width="16.73046875" style="9" customWidth="1"/>
    <col min="14" max="14" width="11.59765625" hidden="1" customWidth="1"/>
    <col min="15" max="15" width="28" hidden="1" customWidth="1"/>
    <col min="16" max="16" width="25.265625" style="18" customWidth="1"/>
    <col min="17" max="17" width="15.3984375" customWidth="1"/>
  </cols>
  <sheetData>
    <row r="1" spans="1:19" x14ac:dyDescent="0.45">
      <c r="A1" s="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  <c r="J1" s="1" t="s">
        <v>17</v>
      </c>
      <c r="K1" s="1" t="s">
        <v>1177</v>
      </c>
      <c r="L1" s="9" t="s">
        <v>21</v>
      </c>
      <c r="M1" s="9" t="s">
        <v>28</v>
      </c>
      <c r="N1" s="1" t="s">
        <v>29</v>
      </c>
      <c r="O1" s="1" t="s">
        <v>30</v>
      </c>
      <c r="P1" s="20" t="s">
        <v>1191</v>
      </c>
      <c r="R1" s="1" t="s">
        <v>1192</v>
      </c>
      <c r="S1">
        <f>COUNTA(C2:C999)</f>
        <v>541</v>
      </c>
    </row>
    <row r="2" spans="1:19" x14ac:dyDescent="0.45">
      <c r="A2" s="37">
        <v>1</v>
      </c>
      <c r="B2" s="37" t="s">
        <v>1211</v>
      </c>
      <c r="C2" s="37" t="s">
        <v>1212</v>
      </c>
      <c r="D2" s="12" t="s">
        <v>476</v>
      </c>
      <c r="E2" s="12" t="s">
        <v>477</v>
      </c>
      <c r="F2" s="12">
        <v>1</v>
      </c>
      <c r="G2" s="12">
        <v>0</v>
      </c>
      <c r="H2" s="12">
        <v>27</v>
      </c>
      <c r="I2" s="12">
        <v>0</v>
      </c>
      <c r="J2" s="12" t="s">
        <v>43</v>
      </c>
      <c r="K2" s="28" t="s">
        <v>478</v>
      </c>
      <c r="N2" t="e">
        <v>#REF!</v>
      </c>
      <c r="O2" t="str">
        <f t="shared" ref="O2:O23" si="0">_xlfn.CONCAT(B2, " ", C2)</f>
        <v>Margaret Barbier</v>
      </c>
      <c r="P2" s="18">
        <v>2</v>
      </c>
      <c r="R2" s="1" t="s">
        <v>13</v>
      </c>
      <c r="S2">
        <f>SUM(F:F)</f>
        <v>340</v>
      </c>
    </row>
    <row r="3" spans="1:19" x14ac:dyDescent="0.45">
      <c r="A3" s="37">
        <v>2</v>
      </c>
      <c r="B3" s="37" t="s">
        <v>1213</v>
      </c>
      <c r="C3" s="37" t="s">
        <v>89</v>
      </c>
      <c r="D3" s="12" t="s">
        <v>63</v>
      </c>
      <c r="E3" s="12" t="s">
        <v>64</v>
      </c>
      <c r="F3" s="12">
        <v>0</v>
      </c>
      <c r="G3" s="12">
        <v>0</v>
      </c>
      <c r="H3" s="12"/>
      <c r="I3" s="12">
        <v>1</v>
      </c>
      <c r="J3" s="12" t="s">
        <v>42</v>
      </c>
      <c r="K3" s="28">
        <v>1</v>
      </c>
      <c r="L3" s="9">
        <v>1</v>
      </c>
      <c r="N3" t="e">
        <v>#REF!</v>
      </c>
      <c r="O3" t="str">
        <f t="shared" si="0"/>
        <v>Maurice Dufour</v>
      </c>
      <c r="P3" s="18">
        <v>1</v>
      </c>
      <c r="R3" s="1" t="s">
        <v>1209</v>
      </c>
      <c r="S3">
        <f>SUM(I:I)</f>
        <v>49</v>
      </c>
    </row>
    <row r="4" spans="1:19" x14ac:dyDescent="0.45">
      <c r="A4" s="37">
        <v>3</v>
      </c>
      <c r="B4" s="37" t="s">
        <v>1214</v>
      </c>
      <c r="C4" s="37" t="s">
        <v>1215</v>
      </c>
      <c r="D4" s="12" t="s">
        <v>164</v>
      </c>
      <c r="E4" s="12" t="s">
        <v>165</v>
      </c>
      <c r="F4" s="12">
        <v>0</v>
      </c>
      <c r="G4" s="12">
        <v>1</v>
      </c>
      <c r="H4" s="12">
        <v>40</v>
      </c>
      <c r="I4" s="12">
        <v>0</v>
      </c>
      <c r="J4" s="12" t="s">
        <v>43</v>
      </c>
      <c r="K4" s="28">
        <v>1</v>
      </c>
      <c r="L4" s="9">
        <v>9</v>
      </c>
      <c r="N4" t="e">
        <v>#REF!</v>
      </c>
      <c r="O4" t="str">
        <f t="shared" si="0"/>
        <v>Cécile Lebreton</v>
      </c>
      <c r="P4" s="18">
        <v>9</v>
      </c>
      <c r="R4" s="1" t="s">
        <v>1210</v>
      </c>
      <c r="S4">
        <f>S1-S2-S3</f>
        <v>152</v>
      </c>
    </row>
    <row r="5" spans="1:19" x14ac:dyDescent="0.45">
      <c r="A5" s="37">
        <v>4</v>
      </c>
      <c r="B5" s="37" t="s">
        <v>1216</v>
      </c>
      <c r="C5" s="37" t="s">
        <v>1217</v>
      </c>
      <c r="D5" s="12" t="s">
        <v>479</v>
      </c>
      <c r="E5" s="12" t="s">
        <v>480</v>
      </c>
      <c r="F5" s="12">
        <v>1</v>
      </c>
      <c r="G5" s="12">
        <v>0</v>
      </c>
      <c r="H5" s="12">
        <v>19</v>
      </c>
      <c r="I5" s="12">
        <v>0</v>
      </c>
      <c r="J5" s="12" t="s">
        <v>43</v>
      </c>
      <c r="K5" s="28" t="s">
        <v>478</v>
      </c>
      <c r="N5" t="e">
        <v>#REF!</v>
      </c>
      <c r="O5" t="str">
        <f t="shared" si="0"/>
        <v>Robert Delattre</v>
      </c>
      <c r="P5" s="18">
        <v>3</v>
      </c>
    </row>
    <row r="6" spans="1:19" x14ac:dyDescent="0.45">
      <c r="A6" s="37">
        <v>5</v>
      </c>
      <c r="B6" s="37" t="s">
        <v>820</v>
      </c>
      <c r="C6" s="37" t="s">
        <v>1218</v>
      </c>
      <c r="D6" s="12" t="s">
        <v>65</v>
      </c>
      <c r="E6" s="12" t="s">
        <v>66</v>
      </c>
      <c r="F6" s="12">
        <v>0</v>
      </c>
      <c r="G6" s="12">
        <v>0</v>
      </c>
      <c r="H6" s="12"/>
      <c r="I6" s="12">
        <v>1</v>
      </c>
      <c r="J6" s="12" t="s">
        <v>67</v>
      </c>
      <c r="K6" s="28">
        <v>1</v>
      </c>
      <c r="L6" s="9">
        <v>1</v>
      </c>
      <c r="N6" t="e">
        <v>#REF!</v>
      </c>
      <c r="O6" t="str">
        <f t="shared" si="0"/>
        <v>Luc Lejeune</v>
      </c>
      <c r="P6" s="18">
        <v>1</v>
      </c>
    </row>
    <row r="7" spans="1:19" x14ac:dyDescent="0.45">
      <c r="A7" s="37">
        <v>6</v>
      </c>
      <c r="B7" s="37" t="s">
        <v>228</v>
      </c>
      <c r="C7" s="37" t="s">
        <v>1219</v>
      </c>
      <c r="D7" s="12" t="s">
        <v>482</v>
      </c>
      <c r="E7" s="12" t="s">
        <v>483</v>
      </c>
      <c r="F7" s="12">
        <v>1</v>
      </c>
      <c r="G7" s="12">
        <v>0</v>
      </c>
      <c r="H7" s="12">
        <v>24</v>
      </c>
      <c r="I7" s="12">
        <v>0</v>
      </c>
      <c r="J7" s="12" t="s">
        <v>43</v>
      </c>
      <c r="K7" s="28" t="s">
        <v>478</v>
      </c>
      <c r="N7" t="e">
        <v>#REF!</v>
      </c>
      <c r="O7" t="str">
        <f t="shared" si="0"/>
        <v>Matthieu Clerc</v>
      </c>
      <c r="P7" s="18">
        <v>6</v>
      </c>
    </row>
    <row r="8" spans="1:19" x14ac:dyDescent="0.45">
      <c r="A8" s="37">
        <v>7</v>
      </c>
      <c r="B8" s="37" t="s">
        <v>453</v>
      </c>
      <c r="C8" s="37" t="s">
        <v>1220</v>
      </c>
      <c r="D8" s="12" t="s">
        <v>484</v>
      </c>
      <c r="E8" s="12" t="s">
        <v>43</v>
      </c>
      <c r="F8" s="12">
        <v>1</v>
      </c>
      <c r="G8" s="12">
        <v>0</v>
      </c>
      <c r="H8" s="12">
        <v>39</v>
      </c>
      <c r="I8" s="12">
        <v>0</v>
      </c>
      <c r="J8" s="12" t="s">
        <v>43</v>
      </c>
      <c r="K8" s="28" t="s">
        <v>478</v>
      </c>
      <c r="N8" t="e">
        <v>#REF!</v>
      </c>
      <c r="O8" t="str">
        <f t="shared" si="0"/>
        <v>Camille Aubry</v>
      </c>
      <c r="P8" s="18">
        <v>3</v>
      </c>
    </row>
    <row r="9" spans="1:19" x14ac:dyDescent="0.45">
      <c r="A9" s="37">
        <v>8</v>
      </c>
      <c r="B9" s="37" t="s">
        <v>1221</v>
      </c>
      <c r="C9" s="37" t="s">
        <v>1222</v>
      </c>
      <c r="D9" s="12" t="s">
        <v>485</v>
      </c>
      <c r="E9" s="12" t="s">
        <v>486</v>
      </c>
      <c r="F9" s="12">
        <v>1</v>
      </c>
      <c r="G9" s="12">
        <v>0</v>
      </c>
      <c r="H9" s="12">
        <v>7</v>
      </c>
      <c r="I9" s="12">
        <v>0</v>
      </c>
      <c r="J9" s="12" t="s">
        <v>43</v>
      </c>
      <c r="K9" s="28" t="s">
        <v>487</v>
      </c>
      <c r="N9" t="e">
        <v>#REF!</v>
      </c>
      <c r="O9" t="str">
        <f t="shared" si="0"/>
        <v>Sophie Bernier</v>
      </c>
      <c r="P9" s="18">
        <v>1</v>
      </c>
    </row>
    <row r="10" spans="1:19" x14ac:dyDescent="0.45">
      <c r="A10" s="37">
        <v>9</v>
      </c>
      <c r="B10" s="37" t="s">
        <v>1223</v>
      </c>
      <c r="C10" s="37" t="s">
        <v>1224</v>
      </c>
      <c r="D10" s="12" t="s">
        <v>488</v>
      </c>
      <c r="E10" s="12" t="s">
        <v>489</v>
      </c>
      <c r="F10" s="12">
        <v>0</v>
      </c>
      <c r="G10" s="12">
        <v>0</v>
      </c>
      <c r="H10" s="12"/>
      <c r="I10" s="12">
        <v>0</v>
      </c>
      <c r="J10" s="12" t="s">
        <v>43</v>
      </c>
      <c r="K10" s="28">
        <v>1</v>
      </c>
      <c r="L10" s="9">
        <v>9</v>
      </c>
      <c r="N10" t="e">
        <v>#REF!</v>
      </c>
      <c r="O10" t="str">
        <f t="shared" si="0"/>
        <v>Victoire Pires</v>
      </c>
      <c r="P10" s="18">
        <v>9</v>
      </c>
    </row>
    <row r="11" spans="1:19" x14ac:dyDescent="0.45">
      <c r="A11" s="37">
        <v>10</v>
      </c>
      <c r="B11" s="37" t="s">
        <v>193</v>
      </c>
      <c r="C11" s="37" t="s">
        <v>1225</v>
      </c>
      <c r="D11" s="12" t="s">
        <v>490</v>
      </c>
      <c r="E11" s="12" t="s">
        <v>43</v>
      </c>
      <c r="F11" s="12">
        <v>1</v>
      </c>
      <c r="G11" s="12">
        <v>0</v>
      </c>
      <c r="H11" s="12">
        <v>43</v>
      </c>
      <c r="I11" s="12">
        <v>0</v>
      </c>
      <c r="J11" s="12" t="s">
        <v>43</v>
      </c>
      <c r="K11" s="28" t="s">
        <v>478</v>
      </c>
      <c r="L11" s="9">
        <v>9</v>
      </c>
      <c r="N11" t="e">
        <v>#REF!</v>
      </c>
      <c r="O11" t="str">
        <f t="shared" si="0"/>
        <v>Alice Ollivier</v>
      </c>
      <c r="P11" s="18">
        <v>9</v>
      </c>
    </row>
    <row r="12" spans="1:19" x14ac:dyDescent="0.45">
      <c r="A12" s="37">
        <v>11</v>
      </c>
      <c r="B12" s="37" t="s">
        <v>1226</v>
      </c>
      <c r="C12" s="37" t="s">
        <v>1227</v>
      </c>
      <c r="D12" s="12" t="s">
        <v>40</v>
      </c>
      <c r="E12" s="12" t="s">
        <v>41</v>
      </c>
      <c r="F12" s="12">
        <v>0</v>
      </c>
      <c r="G12" s="12">
        <v>1</v>
      </c>
      <c r="H12" s="12">
        <v>7</v>
      </c>
      <c r="I12" s="12">
        <v>1</v>
      </c>
      <c r="J12" s="12" t="s">
        <v>42</v>
      </c>
      <c r="K12" s="28">
        <v>1</v>
      </c>
      <c r="N12" t="e">
        <v>#REF!</v>
      </c>
      <c r="O12" t="str">
        <f t="shared" si="0"/>
        <v>Élise Langlois</v>
      </c>
      <c r="P12" s="18">
        <v>1</v>
      </c>
    </row>
    <row r="13" spans="1:19" x14ac:dyDescent="0.45">
      <c r="A13" s="37">
        <v>12</v>
      </c>
      <c r="B13" s="37" t="s">
        <v>1228</v>
      </c>
      <c r="C13" s="37" t="s">
        <v>1229</v>
      </c>
      <c r="D13" s="12" t="s">
        <v>491</v>
      </c>
      <c r="E13" s="12" t="s">
        <v>492</v>
      </c>
      <c r="F13" s="12">
        <v>1</v>
      </c>
      <c r="G13" s="12">
        <v>0</v>
      </c>
      <c r="H13" s="12">
        <v>20</v>
      </c>
      <c r="I13" s="12">
        <v>0</v>
      </c>
      <c r="J13" s="12" t="s">
        <v>43</v>
      </c>
      <c r="K13" s="28" t="s">
        <v>487</v>
      </c>
      <c r="N13" t="e">
        <v>#REF!</v>
      </c>
      <c r="O13" t="str">
        <f t="shared" si="0"/>
        <v>Thierry Merle</v>
      </c>
      <c r="P13" s="18">
        <v>8</v>
      </c>
    </row>
    <row r="14" spans="1:19" x14ac:dyDescent="0.45">
      <c r="A14" s="37">
        <v>13</v>
      </c>
      <c r="B14" s="37" t="s">
        <v>1230</v>
      </c>
      <c r="C14" s="37" t="s">
        <v>1231</v>
      </c>
      <c r="D14" s="12" t="s">
        <v>493</v>
      </c>
      <c r="E14" s="12" t="s">
        <v>494</v>
      </c>
      <c r="F14" s="12">
        <v>1</v>
      </c>
      <c r="G14" s="12">
        <v>0</v>
      </c>
      <c r="H14" s="12">
        <v>22</v>
      </c>
      <c r="I14" s="12">
        <v>0</v>
      </c>
      <c r="J14" s="12" t="s">
        <v>43</v>
      </c>
      <c r="K14" s="28" t="s">
        <v>478</v>
      </c>
      <c r="N14" t="e">
        <v>#REF!</v>
      </c>
      <c r="O14" t="str">
        <f t="shared" si="0"/>
        <v>Céline Boucher</v>
      </c>
      <c r="P14" s="18">
        <v>5</v>
      </c>
    </row>
    <row r="15" spans="1:19" x14ac:dyDescent="0.45">
      <c r="A15" s="37">
        <v>14</v>
      </c>
      <c r="B15" s="37" t="s">
        <v>1232</v>
      </c>
      <c r="C15" s="37" t="s">
        <v>1233</v>
      </c>
      <c r="D15" s="12" t="s">
        <v>495</v>
      </c>
      <c r="E15" s="12" t="s">
        <v>496</v>
      </c>
      <c r="F15" s="12">
        <v>1</v>
      </c>
      <c r="G15" s="12">
        <v>0</v>
      </c>
      <c r="H15" s="12">
        <v>24</v>
      </c>
      <c r="I15" s="12">
        <v>0</v>
      </c>
      <c r="J15" s="12" t="s">
        <v>43</v>
      </c>
      <c r="K15" s="28" t="s">
        <v>478</v>
      </c>
      <c r="N15" t="e">
        <v>#REF!</v>
      </c>
      <c r="O15" t="str">
        <f t="shared" si="0"/>
        <v>Sébastien Jourdan</v>
      </c>
      <c r="P15" s="18">
        <v>6</v>
      </c>
    </row>
    <row r="16" spans="1:19" x14ac:dyDescent="0.45">
      <c r="A16" s="37">
        <v>15</v>
      </c>
      <c r="B16" s="37" t="s">
        <v>59</v>
      </c>
      <c r="C16" s="37" t="s">
        <v>206</v>
      </c>
      <c r="D16" s="12" t="s">
        <v>497</v>
      </c>
      <c r="E16" s="12" t="s">
        <v>498</v>
      </c>
      <c r="F16" s="12">
        <v>1</v>
      </c>
      <c r="G16" s="12">
        <v>0</v>
      </c>
      <c r="H16" s="12">
        <v>25</v>
      </c>
      <c r="I16" s="12">
        <v>0</v>
      </c>
      <c r="J16" s="12" t="s">
        <v>43</v>
      </c>
      <c r="K16" s="28" t="s">
        <v>487</v>
      </c>
      <c r="N16" t="e">
        <v>#REF!</v>
      </c>
      <c r="O16" t="str">
        <f t="shared" si="0"/>
        <v>Juliette Thomas</v>
      </c>
      <c r="P16" s="18">
        <v>2</v>
      </c>
    </row>
    <row r="17" spans="1:16" x14ac:dyDescent="0.45">
      <c r="A17" s="37">
        <v>16</v>
      </c>
      <c r="B17" s="37" t="s">
        <v>1234</v>
      </c>
      <c r="C17" s="37" t="s">
        <v>1235</v>
      </c>
      <c r="D17" s="12" t="s">
        <v>499</v>
      </c>
      <c r="E17" s="12" t="s">
        <v>500</v>
      </c>
      <c r="F17" s="12">
        <v>1</v>
      </c>
      <c r="G17" s="12">
        <v>0</v>
      </c>
      <c r="H17" s="12">
        <v>22</v>
      </c>
      <c r="I17" s="12">
        <v>0</v>
      </c>
      <c r="J17" s="12" t="s">
        <v>43</v>
      </c>
      <c r="K17" s="28" t="s">
        <v>487</v>
      </c>
      <c r="N17" t="e">
        <v>#REF!</v>
      </c>
      <c r="O17" t="str">
        <f t="shared" si="0"/>
        <v>René Descamps</v>
      </c>
      <c r="P17" s="18">
        <v>5</v>
      </c>
    </row>
    <row r="18" spans="1:16" x14ac:dyDescent="0.45">
      <c r="A18" s="37">
        <v>17</v>
      </c>
      <c r="B18" s="37" t="s">
        <v>1236</v>
      </c>
      <c r="C18" s="37" t="s">
        <v>1237</v>
      </c>
      <c r="D18" s="12" t="s">
        <v>166</v>
      </c>
      <c r="E18" s="12" t="s">
        <v>167</v>
      </c>
      <c r="F18" s="12">
        <v>0</v>
      </c>
      <c r="G18" s="12">
        <v>1</v>
      </c>
      <c r="H18" s="12">
        <v>36</v>
      </c>
      <c r="I18" s="12">
        <v>0</v>
      </c>
      <c r="J18" s="12" t="s">
        <v>43</v>
      </c>
      <c r="K18" s="28">
        <v>1</v>
      </c>
      <c r="N18" t="e">
        <v>#REF!</v>
      </c>
      <c r="O18" t="str">
        <f t="shared" si="0"/>
        <v>Denis Bouvier</v>
      </c>
      <c r="P18" s="18">
        <v>3</v>
      </c>
    </row>
    <row r="19" spans="1:16" x14ac:dyDescent="0.45">
      <c r="A19" s="37">
        <v>18</v>
      </c>
      <c r="B19" s="37" t="s">
        <v>653</v>
      </c>
      <c r="C19" s="37" t="s">
        <v>1238</v>
      </c>
      <c r="D19" s="12" t="s">
        <v>501</v>
      </c>
      <c r="E19" s="12" t="s">
        <v>502</v>
      </c>
      <c r="F19" s="12">
        <v>1</v>
      </c>
      <c r="G19" s="12">
        <v>0</v>
      </c>
      <c r="H19" s="12">
        <v>30</v>
      </c>
      <c r="I19" s="12">
        <v>0</v>
      </c>
      <c r="J19" s="12" t="s">
        <v>43</v>
      </c>
      <c r="K19" s="28" t="s">
        <v>478</v>
      </c>
      <c r="N19" t="e">
        <v>#REF!</v>
      </c>
      <c r="O19" t="str">
        <f t="shared" si="0"/>
        <v>Tristan Wagner</v>
      </c>
      <c r="P19" s="18">
        <v>8</v>
      </c>
    </row>
    <row r="20" spans="1:16" x14ac:dyDescent="0.45">
      <c r="A20" s="37">
        <v>19</v>
      </c>
      <c r="B20" s="37" t="s">
        <v>1239</v>
      </c>
      <c r="C20" s="37" t="s">
        <v>1240</v>
      </c>
      <c r="D20" s="12" t="s">
        <v>168</v>
      </c>
      <c r="E20" s="12" t="s">
        <v>169</v>
      </c>
      <c r="F20" s="12">
        <v>0</v>
      </c>
      <c r="G20" s="12">
        <v>1</v>
      </c>
      <c r="H20" s="12">
        <v>35</v>
      </c>
      <c r="I20" s="12">
        <v>0</v>
      </c>
      <c r="J20" s="12" t="s">
        <v>43</v>
      </c>
      <c r="K20" s="28">
        <v>1</v>
      </c>
      <c r="N20" t="e">
        <v>#REF!</v>
      </c>
      <c r="O20" t="str">
        <f t="shared" si="0"/>
        <v>Isabelle Duhamel</v>
      </c>
      <c r="P20" s="18">
        <v>9</v>
      </c>
    </row>
    <row r="21" spans="1:16" x14ac:dyDescent="0.45">
      <c r="A21" s="37">
        <v>20</v>
      </c>
      <c r="B21" s="37" t="s">
        <v>1241</v>
      </c>
      <c r="C21" s="37" t="s">
        <v>1242</v>
      </c>
      <c r="D21" s="12" t="s">
        <v>44</v>
      </c>
      <c r="E21" s="12" t="s">
        <v>45</v>
      </c>
      <c r="F21" s="12">
        <v>0</v>
      </c>
      <c r="G21" s="12">
        <v>1</v>
      </c>
      <c r="H21" s="12">
        <v>33</v>
      </c>
      <c r="I21" s="12">
        <v>1</v>
      </c>
      <c r="J21" s="12" t="s">
        <v>42</v>
      </c>
      <c r="K21" s="28">
        <v>1</v>
      </c>
      <c r="N21" t="e">
        <v>#REF!</v>
      </c>
      <c r="O21" t="str">
        <f t="shared" si="0"/>
        <v>Clémence Verdier</v>
      </c>
      <c r="P21" s="18">
        <v>8</v>
      </c>
    </row>
    <row r="22" spans="1:16" x14ac:dyDescent="0.45">
      <c r="A22" s="37">
        <v>21</v>
      </c>
      <c r="B22" s="37" t="s">
        <v>1243</v>
      </c>
      <c r="C22" s="37" t="s">
        <v>1244</v>
      </c>
      <c r="D22" s="12" t="s">
        <v>503</v>
      </c>
      <c r="E22" s="12" t="s">
        <v>43</v>
      </c>
      <c r="F22" s="12">
        <v>1</v>
      </c>
      <c r="G22" s="12">
        <v>0</v>
      </c>
      <c r="H22" s="12">
        <v>26</v>
      </c>
      <c r="I22" s="12">
        <v>0</v>
      </c>
      <c r="J22" s="12" t="s">
        <v>43</v>
      </c>
      <c r="K22" s="28" t="s">
        <v>487</v>
      </c>
      <c r="N22" t="e">
        <v>#REF!</v>
      </c>
      <c r="O22" t="str">
        <f t="shared" si="0"/>
        <v>Émile Lagarde</v>
      </c>
      <c r="P22" s="18">
        <v>4</v>
      </c>
    </row>
    <row r="23" spans="1:16" x14ac:dyDescent="0.45">
      <c r="A23" s="37">
        <v>22</v>
      </c>
      <c r="B23" s="37" t="s">
        <v>402</v>
      </c>
      <c r="C23" s="37" t="s">
        <v>1245</v>
      </c>
      <c r="D23" s="12" t="s">
        <v>504</v>
      </c>
      <c r="E23" s="12" t="s">
        <v>505</v>
      </c>
      <c r="F23" s="12">
        <v>1</v>
      </c>
      <c r="G23" s="12">
        <v>0</v>
      </c>
      <c r="H23" s="12">
        <v>32</v>
      </c>
      <c r="I23" s="12">
        <v>0</v>
      </c>
      <c r="J23" s="12" t="s">
        <v>43</v>
      </c>
      <c r="K23" s="28" t="s">
        <v>478</v>
      </c>
      <c r="N23" t="e">
        <v>#REF!</v>
      </c>
      <c r="O23" t="str">
        <f t="shared" si="0"/>
        <v>Alexandre Gimenez</v>
      </c>
      <c r="P23" s="18">
        <v>6</v>
      </c>
    </row>
    <row r="24" spans="1:16" x14ac:dyDescent="0.45">
      <c r="A24" s="37">
        <v>23</v>
      </c>
      <c r="B24" s="37" t="s">
        <v>742</v>
      </c>
      <c r="C24" s="37" t="s">
        <v>1246</v>
      </c>
      <c r="D24" s="12" t="s">
        <v>170</v>
      </c>
      <c r="E24" s="12" t="s">
        <v>171</v>
      </c>
      <c r="F24" s="12">
        <v>0</v>
      </c>
      <c r="G24" s="12">
        <v>1</v>
      </c>
      <c r="H24" s="12">
        <v>37</v>
      </c>
      <c r="I24" s="12">
        <v>0</v>
      </c>
      <c r="J24" s="12" t="s">
        <v>43</v>
      </c>
      <c r="K24" s="28">
        <v>1</v>
      </c>
      <c r="P24" s="18">
        <v>5</v>
      </c>
    </row>
    <row r="25" spans="1:16" x14ac:dyDescent="0.45">
      <c r="A25" s="37">
        <v>24</v>
      </c>
      <c r="B25" s="37" t="s">
        <v>1247</v>
      </c>
      <c r="C25" s="37" t="s">
        <v>1248</v>
      </c>
      <c r="D25" s="12" t="s">
        <v>68</v>
      </c>
      <c r="E25" s="12" t="s">
        <v>69</v>
      </c>
      <c r="F25" s="12">
        <v>0</v>
      </c>
      <c r="G25" s="12">
        <v>0</v>
      </c>
      <c r="H25" s="12"/>
      <c r="I25" s="12">
        <v>1</v>
      </c>
      <c r="J25" s="12" t="s">
        <v>70</v>
      </c>
      <c r="K25" s="28">
        <v>1</v>
      </c>
      <c r="L25" s="9">
        <v>2</v>
      </c>
      <c r="N25" t="e">
        <v>#REF!</v>
      </c>
      <c r="O25" t="str">
        <f>_xlfn.CONCAT(B25, " ", C25)</f>
        <v>Philippine Moulin</v>
      </c>
      <c r="P25" s="18">
        <v>2</v>
      </c>
    </row>
    <row r="26" spans="1:16" x14ac:dyDescent="0.45">
      <c r="A26" s="37">
        <v>25</v>
      </c>
      <c r="B26" s="37" t="s">
        <v>881</v>
      </c>
      <c r="C26" s="37" t="s">
        <v>1249</v>
      </c>
      <c r="D26" s="12" t="s">
        <v>506</v>
      </c>
      <c r="E26" s="12" t="s">
        <v>43</v>
      </c>
      <c r="F26" s="12">
        <v>1</v>
      </c>
      <c r="G26" s="12">
        <v>0</v>
      </c>
      <c r="H26" s="12">
        <v>35</v>
      </c>
      <c r="I26" s="12">
        <v>0</v>
      </c>
      <c r="J26" s="12" t="s">
        <v>43</v>
      </c>
      <c r="K26" s="28" t="s">
        <v>478</v>
      </c>
      <c r="N26" t="e">
        <v>#REF!</v>
      </c>
      <c r="O26" t="str">
        <f>_xlfn.CONCAT(B26, " ", C26)</f>
        <v>Marie Masse</v>
      </c>
      <c r="P26" s="18">
        <v>9</v>
      </c>
    </row>
    <row r="27" spans="1:16" x14ac:dyDescent="0.45">
      <c r="A27" s="37">
        <v>26</v>
      </c>
      <c r="B27" s="37" t="s">
        <v>1136</v>
      </c>
      <c r="C27" s="37" t="s">
        <v>1250</v>
      </c>
      <c r="D27" s="12" t="s">
        <v>507</v>
      </c>
      <c r="E27" s="12" t="s">
        <v>508</v>
      </c>
      <c r="F27" s="12">
        <v>1</v>
      </c>
      <c r="G27" s="12">
        <v>0</v>
      </c>
      <c r="H27" s="12">
        <v>18</v>
      </c>
      <c r="I27" s="12">
        <v>0</v>
      </c>
      <c r="J27" s="12" t="s">
        <v>43</v>
      </c>
      <c r="K27" s="28" t="s">
        <v>478</v>
      </c>
      <c r="N27" t="e">
        <v>#REF!</v>
      </c>
      <c r="O27" t="str">
        <f>_xlfn.CONCAT(B27, " ", C27)</f>
        <v>Caroline Rolland</v>
      </c>
      <c r="P27" s="18">
        <v>7</v>
      </c>
    </row>
    <row r="28" spans="1:16" x14ac:dyDescent="0.45">
      <c r="A28" s="37">
        <v>27</v>
      </c>
      <c r="B28" s="37" t="s">
        <v>1251</v>
      </c>
      <c r="C28" s="37" t="s">
        <v>1252</v>
      </c>
      <c r="D28" s="12" t="s">
        <v>172</v>
      </c>
      <c r="E28" s="12" t="s">
        <v>173</v>
      </c>
      <c r="F28" s="12">
        <v>0</v>
      </c>
      <c r="G28" s="12">
        <v>1</v>
      </c>
      <c r="H28" s="12">
        <v>8</v>
      </c>
      <c r="I28" s="12">
        <v>0</v>
      </c>
      <c r="J28" s="12" t="s">
        <v>43</v>
      </c>
      <c r="K28" s="28">
        <v>1</v>
      </c>
      <c r="N28" t="e">
        <v>#REF!</v>
      </c>
      <c r="O28" t="str">
        <f>_xlfn.CONCAT(B28, " ", C28)</f>
        <v>Philippe Salmon</v>
      </c>
      <c r="P28" s="18">
        <v>8</v>
      </c>
    </row>
    <row r="29" spans="1:16" x14ac:dyDescent="0.45">
      <c r="A29" s="37">
        <v>28</v>
      </c>
      <c r="B29" s="37" t="s">
        <v>1223</v>
      </c>
      <c r="C29" s="37" t="s">
        <v>1253</v>
      </c>
      <c r="D29" s="12" t="s">
        <v>174</v>
      </c>
      <c r="E29" s="12" t="s">
        <v>175</v>
      </c>
      <c r="F29" s="12">
        <v>0</v>
      </c>
      <c r="G29" s="12">
        <v>1</v>
      </c>
      <c r="H29" s="12">
        <v>15</v>
      </c>
      <c r="I29" s="12">
        <v>0</v>
      </c>
      <c r="J29" s="12" t="s">
        <v>43</v>
      </c>
      <c r="K29" s="28">
        <v>1</v>
      </c>
      <c r="P29" s="18">
        <v>2</v>
      </c>
    </row>
    <row r="30" spans="1:16" x14ac:dyDescent="0.45">
      <c r="A30" s="37">
        <v>29</v>
      </c>
      <c r="B30" s="37" t="s">
        <v>1254</v>
      </c>
      <c r="C30" s="37" t="s">
        <v>1255</v>
      </c>
      <c r="D30" s="12" t="s">
        <v>509</v>
      </c>
      <c r="E30" s="12" t="s">
        <v>510</v>
      </c>
      <c r="F30" s="12">
        <v>1</v>
      </c>
      <c r="G30" s="12">
        <v>0</v>
      </c>
      <c r="H30" s="12">
        <v>30</v>
      </c>
      <c r="I30" s="12">
        <v>0</v>
      </c>
      <c r="J30" s="12" t="s">
        <v>43</v>
      </c>
      <c r="K30" s="28" t="s">
        <v>478</v>
      </c>
      <c r="N30" t="e">
        <v>#REF!</v>
      </c>
      <c r="O30" t="str">
        <f>_xlfn.CONCAT(B30, " ", C30)</f>
        <v>Gilbert Paris</v>
      </c>
      <c r="P30" s="18">
        <v>8</v>
      </c>
    </row>
    <row r="31" spans="1:16" x14ac:dyDescent="0.45">
      <c r="A31" s="37">
        <v>30</v>
      </c>
      <c r="B31" s="37" t="s">
        <v>1256</v>
      </c>
      <c r="C31" s="37" t="s">
        <v>1257</v>
      </c>
      <c r="D31" s="12" t="s">
        <v>71</v>
      </c>
      <c r="E31" s="12" t="s">
        <v>72</v>
      </c>
      <c r="F31" s="12">
        <v>0</v>
      </c>
      <c r="G31" s="12">
        <v>0</v>
      </c>
      <c r="H31" s="12"/>
      <c r="I31" s="12">
        <v>1</v>
      </c>
      <c r="J31" s="12" t="s">
        <v>73</v>
      </c>
      <c r="K31" s="28">
        <v>1</v>
      </c>
      <c r="L31" s="9">
        <v>3</v>
      </c>
      <c r="N31" t="e">
        <v>#REF!</v>
      </c>
      <c r="O31" t="str">
        <f>_xlfn.CONCAT(B31, " ", C31)</f>
        <v>Raymond Pons</v>
      </c>
      <c r="P31" s="18">
        <v>3</v>
      </c>
    </row>
    <row r="32" spans="1:16" x14ac:dyDescent="0.45">
      <c r="A32" s="37">
        <v>31</v>
      </c>
      <c r="B32" s="37" t="s">
        <v>1258</v>
      </c>
      <c r="C32" s="37" t="s">
        <v>1259</v>
      </c>
      <c r="D32" s="12" t="s">
        <v>512</v>
      </c>
      <c r="E32" s="12" t="s">
        <v>513</v>
      </c>
      <c r="F32" s="12">
        <v>1</v>
      </c>
      <c r="G32" s="12">
        <v>0</v>
      </c>
      <c r="H32" s="12">
        <v>7</v>
      </c>
      <c r="I32" s="12">
        <v>0</v>
      </c>
      <c r="J32" s="12" t="s">
        <v>43</v>
      </c>
      <c r="K32" s="28" t="s">
        <v>487</v>
      </c>
      <c r="N32" t="e">
        <v>#REF!</v>
      </c>
      <c r="O32" t="str">
        <f>_xlfn.CONCAT(B32, " ", C32)</f>
        <v>Émilie Lefebvre</v>
      </c>
      <c r="P32" s="18">
        <v>1</v>
      </c>
    </row>
    <row r="33" spans="1:16" x14ac:dyDescent="0.45">
      <c r="A33" s="37">
        <v>32</v>
      </c>
      <c r="B33" s="37" t="s">
        <v>269</v>
      </c>
      <c r="C33" s="37" t="s">
        <v>1260</v>
      </c>
      <c r="D33" s="12" t="s">
        <v>514</v>
      </c>
      <c r="E33" s="12" t="s">
        <v>515</v>
      </c>
      <c r="F33" s="12">
        <v>1</v>
      </c>
      <c r="G33" s="12">
        <v>0</v>
      </c>
      <c r="H33" s="12">
        <v>28</v>
      </c>
      <c r="I33" s="12">
        <v>0</v>
      </c>
      <c r="J33" s="12" t="s">
        <v>43</v>
      </c>
      <c r="K33" s="28" t="s">
        <v>478</v>
      </c>
      <c r="P33" s="18">
        <v>7</v>
      </c>
    </row>
    <row r="34" spans="1:16" x14ac:dyDescent="0.45">
      <c r="A34" s="37">
        <v>33</v>
      </c>
      <c r="B34" s="37" t="s">
        <v>257</v>
      </c>
      <c r="C34" s="37" t="s">
        <v>1261</v>
      </c>
      <c r="D34" s="12" t="s">
        <v>516</v>
      </c>
      <c r="E34" s="12" t="s">
        <v>517</v>
      </c>
      <c r="F34" s="12">
        <v>1</v>
      </c>
      <c r="G34" s="12">
        <v>0</v>
      </c>
      <c r="H34" s="12">
        <v>10</v>
      </c>
      <c r="I34" s="12">
        <v>0</v>
      </c>
      <c r="J34" s="12" t="s">
        <v>43</v>
      </c>
      <c r="K34" s="28" t="s">
        <v>478</v>
      </c>
      <c r="N34" t="e">
        <v>#REF!</v>
      </c>
      <c r="O34" t="str">
        <f t="shared" ref="O34:O97" si="1">_xlfn.CONCAT(B34, " ", C34)</f>
        <v>Louis Vallée</v>
      </c>
      <c r="P34" s="18">
        <v>2</v>
      </c>
    </row>
    <row r="35" spans="1:16" x14ac:dyDescent="0.45">
      <c r="A35" s="37">
        <v>34</v>
      </c>
      <c r="B35" s="37" t="s">
        <v>1262</v>
      </c>
      <c r="C35" s="37" t="s">
        <v>1263</v>
      </c>
      <c r="D35" s="12" t="s">
        <v>518</v>
      </c>
      <c r="E35" s="12" t="s">
        <v>519</v>
      </c>
      <c r="F35" s="12">
        <v>1</v>
      </c>
      <c r="G35" s="12">
        <v>0</v>
      </c>
      <c r="H35" s="12">
        <v>6</v>
      </c>
      <c r="I35" s="12">
        <v>0</v>
      </c>
      <c r="J35" s="12" t="s">
        <v>43</v>
      </c>
      <c r="K35" s="28" t="s">
        <v>478</v>
      </c>
      <c r="N35" t="e">
        <v>#REF!</v>
      </c>
      <c r="O35" t="str">
        <f t="shared" si="1"/>
        <v>Suzanne Fouquet</v>
      </c>
      <c r="P35" s="18">
        <v>9</v>
      </c>
    </row>
    <row r="36" spans="1:16" x14ac:dyDescent="0.45">
      <c r="A36" s="37">
        <v>35</v>
      </c>
      <c r="B36" s="37" t="s">
        <v>1264</v>
      </c>
      <c r="C36" s="37" t="s">
        <v>1212</v>
      </c>
      <c r="D36" s="12" t="s">
        <v>520</v>
      </c>
      <c r="E36" s="12" t="s">
        <v>521</v>
      </c>
      <c r="F36" s="12">
        <v>1</v>
      </c>
      <c r="G36" s="12">
        <v>0</v>
      </c>
      <c r="H36" s="12">
        <v>25</v>
      </c>
      <c r="I36" s="12">
        <v>0</v>
      </c>
      <c r="J36" s="12" t="s">
        <v>43</v>
      </c>
      <c r="K36" s="28" t="s">
        <v>478</v>
      </c>
      <c r="N36" t="e">
        <v>#REF!</v>
      </c>
      <c r="O36" t="str">
        <f t="shared" si="1"/>
        <v>Maggie Barbier</v>
      </c>
      <c r="P36" s="18">
        <v>2</v>
      </c>
    </row>
    <row r="37" spans="1:16" x14ac:dyDescent="0.45">
      <c r="A37" s="37">
        <v>36</v>
      </c>
      <c r="B37" s="37" t="s">
        <v>1265</v>
      </c>
      <c r="C37" s="37" t="s">
        <v>1266</v>
      </c>
      <c r="D37" s="12" t="s">
        <v>176</v>
      </c>
      <c r="E37" s="12" t="s">
        <v>177</v>
      </c>
      <c r="F37" s="12">
        <v>0</v>
      </c>
      <c r="G37" s="12">
        <v>1</v>
      </c>
      <c r="H37" s="12">
        <v>9</v>
      </c>
      <c r="I37" s="12">
        <v>0</v>
      </c>
      <c r="J37" s="12" t="s">
        <v>43</v>
      </c>
      <c r="K37" s="28">
        <v>1</v>
      </c>
      <c r="N37" t="e">
        <v>#REF!</v>
      </c>
      <c r="O37" t="str">
        <f t="shared" si="1"/>
        <v>Claude Legros</v>
      </c>
      <c r="P37" s="18">
        <v>1</v>
      </c>
    </row>
    <row r="38" spans="1:16" x14ac:dyDescent="0.45">
      <c r="A38" s="37">
        <v>37</v>
      </c>
      <c r="B38" s="37" t="s">
        <v>1267</v>
      </c>
      <c r="C38" s="37" t="s">
        <v>1268</v>
      </c>
      <c r="D38" s="12" t="s">
        <v>178</v>
      </c>
      <c r="E38" s="12" t="s">
        <v>179</v>
      </c>
      <c r="F38" s="12">
        <v>0</v>
      </c>
      <c r="G38" s="12">
        <v>1</v>
      </c>
      <c r="H38" s="12">
        <v>22</v>
      </c>
      <c r="I38" s="12">
        <v>0</v>
      </c>
      <c r="J38" s="12" t="s">
        <v>43</v>
      </c>
      <c r="K38" s="28">
        <v>1</v>
      </c>
      <c r="N38" t="e">
        <v>#REF!</v>
      </c>
      <c r="O38" t="str">
        <f t="shared" si="1"/>
        <v>Olivier Pelletier</v>
      </c>
      <c r="P38" s="18">
        <v>5</v>
      </c>
    </row>
    <row r="39" spans="1:16" x14ac:dyDescent="0.45">
      <c r="A39" s="37">
        <v>38</v>
      </c>
      <c r="B39" s="37" t="s">
        <v>1243</v>
      </c>
      <c r="C39" s="37" t="s">
        <v>1269</v>
      </c>
      <c r="D39" s="12" t="s">
        <v>523</v>
      </c>
      <c r="E39" s="12" t="s">
        <v>524</v>
      </c>
      <c r="F39" s="12">
        <v>1</v>
      </c>
      <c r="G39" s="12">
        <v>0</v>
      </c>
      <c r="H39" s="12">
        <v>12</v>
      </c>
      <c r="I39" s="12">
        <v>0</v>
      </c>
      <c r="J39" s="12" t="s">
        <v>43</v>
      </c>
      <c r="K39" s="28" t="s">
        <v>478</v>
      </c>
      <c r="N39" t="e">
        <v>#REF!</v>
      </c>
      <c r="O39" t="str">
        <f t="shared" si="1"/>
        <v>Émile Lecoq</v>
      </c>
      <c r="P39" s="18">
        <v>1</v>
      </c>
    </row>
    <row r="40" spans="1:16" x14ac:dyDescent="0.45">
      <c r="A40" s="37">
        <v>39</v>
      </c>
      <c r="B40" s="37" t="s">
        <v>1270</v>
      </c>
      <c r="C40" s="37" t="s">
        <v>1271</v>
      </c>
      <c r="D40" s="12" t="s">
        <v>525</v>
      </c>
      <c r="E40" s="12" t="s">
        <v>526</v>
      </c>
      <c r="F40" s="12">
        <v>1</v>
      </c>
      <c r="G40" s="12">
        <v>0</v>
      </c>
      <c r="H40" s="12">
        <v>30</v>
      </c>
      <c r="I40" s="12">
        <v>0</v>
      </c>
      <c r="J40" s="12" t="s">
        <v>43</v>
      </c>
      <c r="K40" s="28" t="s">
        <v>478</v>
      </c>
      <c r="N40" t="e">
        <v>#REF!</v>
      </c>
      <c r="O40" t="str">
        <f t="shared" si="1"/>
        <v>Renée Leclerc</v>
      </c>
      <c r="P40" s="18">
        <v>8</v>
      </c>
    </row>
    <row r="41" spans="1:16" x14ac:dyDescent="0.45">
      <c r="A41" s="37">
        <v>40</v>
      </c>
      <c r="B41" s="37" t="s">
        <v>262</v>
      </c>
      <c r="C41" s="37" t="s">
        <v>1272</v>
      </c>
      <c r="D41" s="12" t="s">
        <v>527</v>
      </c>
      <c r="E41" s="12" t="s">
        <v>43</v>
      </c>
      <c r="F41" s="12">
        <v>1</v>
      </c>
      <c r="G41" s="12">
        <v>0</v>
      </c>
      <c r="H41" s="12">
        <v>9</v>
      </c>
      <c r="I41" s="12">
        <v>0</v>
      </c>
      <c r="J41" s="12" t="s">
        <v>43</v>
      </c>
      <c r="K41" s="28" t="s">
        <v>478</v>
      </c>
      <c r="N41" t="e">
        <v>#REF!</v>
      </c>
      <c r="O41" t="str">
        <f t="shared" si="1"/>
        <v>Antoine Leleu</v>
      </c>
      <c r="P41" s="18">
        <v>1</v>
      </c>
    </row>
    <row r="42" spans="1:16" x14ac:dyDescent="0.45">
      <c r="A42" s="37">
        <v>41</v>
      </c>
      <c r="B42" s="37" t="s">
        <v>1273</v>
      </c>
      <c r="C42" s="37" t="s">
        <v>1274</v>
      </c>
      <c r="D42" s="12" t="s">
        <v>180</v>
      </c>
      <c r="E42" s="12" t="s">
        <v>181</v>
      </c>
      <c r="F42" s="12">
        <v>0</v>
      </c>
      <c r="G42" s="12">
        <v>1</v>
      </c>
      <c r="H42" s="12">
        <v>43</v>
      </c>
      <c r="I42" s="12">
        <v>0</v>
      </c>
      <c r="J42" s="12" t="s">
        <v>43</v>
      </c>
      <c r="K42" s="28">
        <v>1</v>
      </c>
      <c r="L42" s="9">
        <v>9</v>
      </c>
      <c r="N42" t="e">
        <v>#REF!</v>
      </c>
      <c r="O42" t="str">
        <f t="shared" si="1"/>
        <v>Aurélie Maillard</v>
      </c>
      <c r="P42" s="18">
        <v>9</v>
      </c>
    </row>
    <row r="43" spans="1:16" x14ac:dyDescent="0.45">
      <c r="A43" s="37">
        <v>42</v>
      </c>
      <c r="B43" s="37" t="s">
        <v>1275</v>
      </c>
      <c r="C43" s="37" t="s">
        <v>117</v>
      </c>
      <c r="D43" s="12" t="s">
        <v>528</v>
      </c>
      <c r="E43" s="12" t="s">
        <v>529</v>
      </c>
      <c r="F43" s="12">
        <v>1</v>
      </c>
      <c r="G43" s="12">
        <v>0</v>
      </c>
      <c r="H43" s="12">
        <v>12</v>
      </c>
      <c r="I43" s="12">
        <v>0</v>
      </c>
      <c r="J43" s="12" t="s">
        <v>43</v>
      </c>
      <c r="K43" s="28" t="s">
        <v>478</v>
      </c>
      <c r="N43" t="e">
        <v>#REF!</v>
      </c>
      <c r="O43" t="str">
        <f t="shared" si="1"/>
        <v>Patrick Lucas</v>
      </c>
      <c r="P43" s="18">
        <v>1</v>
      </c>
    </row>
    <row r="44" spans="1:16" x14ac:dyDescent="0.45">
      <c r="A44" s="37">
        <v>43</v>
      </c>
      <c r="B44" s="37" t="s">
        <v>583</v>
      </c>
      <c r="C44" s="37" t="s">
        <v>1276</v>
      </c>
      <c r="D44" s="12" t="s">
        <v>530</v>
      </c>
      <c r="E44" s="12" t="s">
        <v>531</v>
      </c>
      <c r="F44" s="12">
        <v>1</v>
      </c>
      <c r="G44" s="12">
        <v>0</v>
      </c>
      <c r="H44" s="12">
        <v>35</v>
      </c>
      <c r="I44" s="12">
        <v>0</v>
      </c>
      <c r="J44" s="12" t="s">
        <v>43</v>
      </c>
      <c r="K44" s="28" t="s">
        <v>478</v>
      </c>
      <c r="N44" t="e">
        <v>#REF!</v>
      </c>
      <c r="O44" t="str">
        <f t="shared" si="1"/>
        <v>Pierre Andre</v>
      </c>
      <c r="P44" s="18">
        <v>9</v>
      </c>
    </row>
    <row r="45" spans="1:16" x14ac:dyDescent="0.45">
      <c r="A45" s="37">
        <v>44</v>
      </c>
      <c r="B45" s="37" t="s">
        <v>1273</v>
      </c>
      <c r="C45" s="37" t="s">
        <v>1277</v>
      </c>
      <c r="D45" s="12" t="s">
        <v>532</v>
      </c>
      <c r="E45" s="12" t="s">
        <v>533</v>
      </c>
      <c r="F45" s="12">
        <v>1</v>
      </c>
      <c r="G45" s="12">
        <v>0</v>
      </c>
      <c r="H45" s="12">
        <v>31</v>
      </c>
      <c r="I45" s="12">
        <v>0</v>
      </c>
      <c r="J45" s="12" t="s">
        <v>43</v>
      </c>
      <c r="K45" s="28" t="s">
        <v>487</v>
      </c>
      <c r="N45" t="e">
        <v>#REF!</v>
      </c>
      <c r="O45" t="str">
        <f t="shared" si="1"/>
        <v>Aurélie Jacques</v>
      </c>
      <c r="P45" s="18">
        <v>6</v>
      </c>
    </row>
    <row r="46" spans="1:16" x14ac:dyDescent="0.45">
      <c r="A46" s="37">
        <v>45</v>
      </c>
      <c r="B46" s="37" t="s">
        <v>50</v>
      </c>
      <c r="C46" s="37" t="s">
        <v>1278</v>
      </c>
      <c r="D46" s="12" t="s">
        <v>74</v>
      </c>
      <c r="E46" s="12" t="s">
        <v>75</v>
      </c>
      <c r="F46" s="12">
        <v>0</v>
      </c>
      <c r="G46" s="12">
        <v>0</v>
      </c>
      <c r="H46" s="12"/>
      <c r="I46" s="12">
        <v>1</v>
      </c>
      <c r="J46" s="12" t="s">
        <v>76</v>
      </c>
      <c r="K46" s="28">
        <v>1</v>
      </c>
      <c r="L46" s="9">
        <v>1</v>
      </c>
      <c r="N46" t="e">
        <v>#REF!</v>
      </c>
      <c r="O46" t="str">
        <f t="shared" si="1"/>
        <v>Julien Delorme</v>
      </c>
      <c r="P46" s="18">
        <v>1</v>
      </c>
    </row>
    <row r="47" spans="1:16" x14ac:dyDescent="0.45">
      <c r="A47" s="37">
        <v>46</v>
      </c>
      <c r="B47" s="37" t="s">
        <v>1279</v>
      </c>
      <c r="C47" s="37" t="s">
        <v>1280</v>
      </c>
      <c r="D47" s="12" t="s">
        <v>182</v>
      </c>
      <c r="E47" s="12" t="s">
        <v>183</v>
      </c>
      <c r="F47" s="12">
        <v>0</v>
      </c>
      <c r="G47" s="12">
        <v>1</v>
      </c>
      <c r="H47" s="12">
        <v>12</v>
      </c>
      <c r="I47" s="12">
        <v>0</v>
      </c>
      <c r="J47" s="12" t="s">
        <v>43</v>
      </c>
      <c r="K47" s="28">
        <v>1</v>
      </c>
      <c r="N47" t="e">
        <v>#REF!</v>
      </c>
      <c r="O47" t="str">
        <f t="shared" si="1"/>
        <v>Joséphine Marques</v>
      </c>
      <c r="P47" s="18">
        <v>1</v>
      </c>
    </row>
    <row r="48" spans="1:16" x14ac:dyDescent="0.45">
      <c r="A48" s="37">
        <v>47</v>
      </c>
      <c r="B48" s="37" t="s">
        <v>1281</v>
      </c>
      <c r="C48" s="37" t="s">
        <v>1282</v>
      </c>
      <c r="D48" s="12" t="s">
        <v>184</v>
      </c>
      <c r="E48" s="12" t="s">
        <v>185</v>
      </c>
      <c r="F48" s="12">
        <v>0</v>
      </c>
      <c r="G48" s="12">
        <v>1</v>
      </c>
      <c r="H48" s="12">
        <v>37</v>
      </c>
      <c r="I48" s="12">
        <v>0</v>
      </c>
      <c r="J48" s="12" t="s">
        <v>43</v>
      </c>
      <c r="K48" s="28">
        <v>1</v>
      </c>
      <c r="N48" t="e">
        <v>#REF!</v>
      </c>
      <c r="O48" t="str">
        <f t="shared" si="1"/>
        <v>Corinne Lecomte</v>
      </c>
      <c r="P48" s="18">
        <v>5</v>
      </c>
    </row>
    <row r="49" spans="1:16" x14ac:dyDescent="0.45">
      <c r="A49" s="37">
        <v>48</v>
      </c>
      <c r="B49" s="37" t="s">
        <v>1234</v>
      </c>
      <c r="C49" s="37" t="s">
        <v>1283</v>
      </c>
      <c r="D49" s="12" t="s">
        <v>534</v>
      </c>
      <c r="E49" s="12" t="s">
        <v>535</v>
      </c>
      <c r="F49" s="12">
        <v>1</v>
      </c>
      <c r="G49" s="12">
        <v>0</v>
      </c>
      <c r="H49" s="12">
        <v>21</v>
      </c>
      <c r="I49" s="12">
        <v>0</v>
      </c>
      <c r="J49" s="12" t="s">
        <v>43</v>
      </c>
      <c r="K49" s="28" t="s">
        <v>478</v>
      </c>
      <c r="N49" t="e">
        <v>#REF!</v>
      </c>
      <c r="O49" t="str">
        <f t="shared" si="1"/>
        <v>René Henry</v>
      </c>
      <c r="P49" s="18">
        <v>3</v>
      </c>
    </row>
    <row r="50" spans="1:16" x14ac:dyDescent="0.45">
      <c r="A50" s="37">
        <v>49</v>
      </c>
      <c r="B50" s="37" t="s">
        <v>679</v>
      </c>
      <c r="C50" s="37" t="s">
        <v>1284</v>
      </c>
      <c r="D50" s="12" t="s">
        <v>186</v>
      </c>
      <c r="E50" s="12" t="s">
        <v>187</v>
      </c>
      <c r="F50" s="12">
        <v>0</v>
      </c>
      <c r="G50" s="12">
        <v>1</v>
      </c>
      <c r="H50" s="12">
        <v>18</v>
      </c>
      <c r="I50" s="12">
        <v>0</v>
      </c>
      <c r="J50" s="12" t="s">
        <v>43</v>
      </c>
      <c r="K50" s="28">
        <v>1</v>
      </c>
      <c r="N50" t="e">
        <v>#REF!</v>
      </c>
      <c r="O50" t="str">
        <f t="shared" si="1"/>
        <v>Vincent Humbert</v>
      </c>
      <c r="P50" s="18">
        <v>7</v>
      </c>
    </row>
    <row r="51" spans="1:16" x14ac:dyDescent="0.45">
      <c r="A51" s="37">
        <v>50</v>
      </c>
      <c r="B51" s="37" t="s">
        <v>473</v>
      </c>
      <c r="C51" s="37" t="s">
        <v>1285</v>
      </c>
      <c r="D51" s="12" t="s">
        <v>536</v>
      </c>
      <c r="E51" s="12" t="s">
        <v>537</v>
      </c>
      <c r="F51" s="12">
        <v>1</v>
      </c>
      <c r="G51" s="12">
        <v>0</v>
      </c>
      <c r="H51" s="12">
        <v>15</v>
      </c>
      <c r="I51" s="12">
        <v>0</v>
      </c>
      <c r="J51" s="12" t="s">
        <v>43</v>
      </c>
      <c r="K51" s="28" t="s">
        <v>478</v>
      </c>
      <c r="N51" t="e">
        <v>#REF!</v>
      </c>
      <c r="O51" t="str">
        <f t="shared" si="1"/>
        <v>Laurent Rocher</v>
      </c>
      <c r="P51" s="18">
        <v>2</v>
      </c>
    </row>
    <row r="52" spans="1:16" x14ac:dyDescent="0.45">
      <c r="A52" s="37">
        <v>51</v>
      </c>
      <c r="B52" s="37" t="s">
        <v>802</v>
      </c>
      <c r="C52" s="37" t="s">
        <v>1286</v>
      </c>
      <c r="D52" s="12" t="s">
        <v>538</v>
      </c>
      <c r="E52" s="12" t="s">
        <v>539</v>
      </c>
      <c r="F52" s="12">
        <v>1</v>
      </c>
      <c r="G52" s="12">
        <v>0</v>
      </c>
      <c r="H52" s="12">
        <v>27</v>
      </c>
      <c r="I52" s="12">
        <v>0</v>
      </c>
      <c r="J52" s="12" t="s">
        <v>43</v>
      </c>
      <c r="K52" s="28" t="s">
        <v>478</v>
      </c>
      <c r="N52" t="e">
        <v>#REF!</v>
      </c>
      <c r="O52" t="str">
        <f t="shared" si="1"/>
        <v>Agathe Rousset</v>
      </c>
      <c r="P52" s="18">
        <v>2</v>
      </c>
    </row>
    <row r="53" spans="1:16" x14ac:dyDescent="0.45">
      <c r="A53" s="37">
        <v>52</v>
      </c>
      <c r="B53" s="37" t="s">
        <v>742</v>
      </c>
      <c r="C53" s="37" t="s">
        <v>1287</v>
      </c>
      <c r="D53" s="12" t="s">
        <v>540</v>
      </c>
      <c r="E53" s="12" t="s">
        <v>541</v>
      </c>
      <c r="F53" s="12">
        <v>1</v>
      </c>
      <c r="G53" s="12">
        <v>0</v>
      </c>
      <c r="H53" s="12">
        <v>39</v>
      </c>
      <c r="I53" s="12">
        <v>0</v>
      </c>
      <c r="J53" s="12" t="s">
        <v>43</v>
      </c>
      <c r="K53" s="28" t="s">
        <v>478</v>
      </c>
      <c r="N53" t="e">
        <v>#REF!</v>
      </c>
      <c r="O53" t="str">
        <f t="shared" si="1"/>
        <v>Lucy Loiseau</v>
      </c>
      <c r="P53" s="18">
        <v>3</v>
      </c>
    </row>
    <row r="54" spans="1:16" x14ac:dyDescent="0.45">
      <c r="A54" s="37">
        <v>53</v>
      </c>
      <c r="B54" s="37" t="s">
        <v>1288</v>
      </c>
      <c r="C54" s="37" t="s">
        <v>1289</v>
      </c>
      <c r="D54" s="12" t="s">
        <v>543</v>
      </c>
      <c r="E54" s="12" t="s">
        <v>544</v>
      </c>
      <c r="F54" s="12">
        <v>1</v>
      </c>
      <c r="G54" s="12">
        <v>0</v>
      </c>
      <c r="H54" s="12">
        <v>16</v>
      </c>
      <c r="I54" s="12">
        <v>0</v>
      </c>
      <c r="J54" s="12" t="s">
        <v>43</v>
      </c>
      <c r="K54" s="28" t="s">
        <v>478</v>
      </c>
      <c r="N54" t="e">
        <v>#REF!</v>
      </c>
      <c r="O54" t="str">
        <f t="shared" si="1"/>
        <v>Christiane Brun</v>
      </c>
      <c r="P54" s="18">
        <v>6</v>
      </c>
    </row>
    <row r="55" spans="1:16" x14ac:dyDescent="0.45">
      <c r="A55" s="37">
        <v>54</v>
      </c>
      <c r="B55" s="37" t="s">
        <v>1290</v>
      </c>
      <c r="C55" s="37" t="s">
        <v>1291</v>
      </c>
      <c r="D55" s="12" t="s">
        <v>545</v>
      </c>
      <c r="E55" s="12" t="s">
        <v>546</v>
      </c>
      <c r="F55" s="12">
        <v>1</v>
      </c>
      <c r="G55" s="12">
        <v>0</v>
      </c>
      <c r="H55" s="12">
        <v>30</v>
      </c>
      <c r="I55" s="12">
        <v>0</v>
      </c>
      <c r="J55" s="12" t="s">
        <v>43</v>
      </c>
      <c r="K55" s="28" t="s">
        <v>478</v>
      </c>
      <c r="N55" t="e">
        <v>#REF!</v>
      </c>
      <c r="O55" t="str">
        <f t="shared" si="1"/>
        <v>Margaud Noël</v>
      </c>
      <c r="P55" s="18">
        <v>8</v>
      </c>
    </row>
    <row r="56" spans="1:16" x14ac:dyDescent="0.45">
      <c r="A56" s="37">
        <v>55</v>
      </c>
      <c r="B56" s="37" t="s">
        <v>1292</v>
      </c>
      <c r="C56" s="37" t="s">
        <v>1293</v>
      </c>
      <c r="D56" s="12" t="s">
        <v>47</v>
      </c>
      <c r="E56" s="12" t="s">
        <v>48</v>
      </c>
      <c r="F56" s="12">
        <v>0</v>
      </c>
      <c r="G56" s="12">
        <v>0</v>
      </c>
      <c r="H56" s="12"/>
      <c r="I56" s="12">
        <v>1</v>
      </c>
      <c r="J56" s="12" t="s">
        <v>49</v>
      </c>
      <c r="K56" s="28">
        <v>1</v>
      </c>
      <c r="L56" s="9">
        <v>1</v>
      </c>
      <c r="N56" t="e">
        <v>#REF!</v>
      </c>
      <c r="O56" t="str">
        <f t="shared" si="1"/>
        <v>Henriette Foucher</v>
      </c>
      <c r="P56" s="18">
        <v>1</v>
      </c>
    </row>
    <row r="57" spans="1:16" x14ac:dyDescent="0.45">
      <c r="A57" s="37">
        <v>56</v>
      </c>
      <c r="B57" s="37" t="s">
        <v>1294</v>
      </c>
      <c r="C57" s="37" t="s">
        <v>1219</v>
      </c>
      <c r="D57" s="12" t="s">
        <v>548</v>
      </c>
      <c r="E57" s="12" t="s">
        <v>549</v>
      </c>
      <c r="F57" s="12">
        <v>1</v>
      </c>
      <c r="G57" s="12">
        <v>0</v>
      </c>
      <c r="H57" s="12">
        <v>18</v>
      </c>
      <c r="I57" s="12">
        <v>0</v>
      </c>
      <c r="J57" s="12" t="s">
        <v>43</v>
      </c>
      <c r="K57" s="28" t="s">
        <v>478</v>
      </c>
      <c r="N57" t="e">
        <v>#REF!</v>
      </c>
      <c r="O57" t="str">
        <f t="shared" si="1"/>
        <v>Madeleine Clerc</v>
      </c>
      <c r="P57" s="18">
        <v>7</v>
      </c>
    </row>
    <row r="58" spans="1:16" x14ac:dyDescent="0.45">
      <c r="A58" s="37">
        <v>57</v>
      </c>
      <c r="B58" s="37" t="s">
        <v>1295</v>
      </c>
      <c r="C58" s="37" t="s">
        <v>1296</v>
      </c>
      <c r="D58" s="12" t="s">
        <v>550</v>
      </c>
      <c r="E58" s="12" t="s">
        <v>551</v>
      </c>
      <c r="F58" s="12">
        <v>1</v>
      </c>
      <c r="G58" s="12">
        <v>0</v>
      </c>
      <c r="H58" s="12">
        <v>7</v>
      </c>
      <c r="I58" s="12">
        <v>0</v>
      </c>
      <c r="J58" s="12" t="s">
        <v>43</v>
      </c>
      <c r="K58" s="28" t="s">
        <v>478</v>
      </c>
      <c r="N58" t="e">
        <v>#REF!</v>
      </c>
      <c r="O58" t="str">
        <f t="shared" si="1"/>
        <v>Zacharie Lefèvre</v>
      </c>
      <c r="P58" s="18">
        <v>1</v>
      </c>
    </row>
    <row r="59" spans="1:16" x14ac:dyDescent="0.45">
      <c r="A59" s="37">
        <v>58</v>
      </c>
      <c r="B59" s="37" t="s">
        <v>912</v>
      </c>
      <c r="C59" s="37" t="s">
        <v>1297</v>
      </c>
      <c r="D59" s="12" t="s">
        <v>552</v>
      </c>
      <c r="E59" s="12" t="s">
        <v>553</v>
      </c>
      <c r="F59" s="12">
        <v>1</v>
      </c>
      <c r="G59" s="12">
        <v>0</v>
      </c>
      <c r="H59" s="12">
        <v>22</v>
      </c>
      <c r="I59" s="12">
        <v>0</v>
      </c>
      <c r="J59" s="12" t="s">
        <v>43</v>
      </c>
      <c r="K59" s="28" t="s">
        <v>478</v>
      </c>
      <c r="N59" t="e">
        <v>#REF!</v>
      </c>
      <c r="O59" t="str">
        <f t="shared" si="1"/>
        <v>Augustin Morel</v>
      </c>
      <c r="P59" s="18">
        <v>5</v>
      </c>
    </row>
    <row r="60" spans="1:16" x14ac:dyDescent="0.45">
      <c r="A60" s="37">
        <v>59</v>
      </c>
      <c r="B60" s="37" t="s">
        <v>1256</v>
      </c>
      <c r="C60" s="37" t="s">
        <v>1298</v>
      </c>
      <c r="D60" s="12" t="s">
        <v>554</v>
      </c>
      <c r="E60" s="12" t="s">
        <v>555</v>
      </c>
      <c r="F60" s="12">
        <v>1</v>
      </c>
      <c r="G60" s="12">
        <v>0</v>
      </c>
      <c r="H60" s="12">
        <v>43</v>
      </c>
      <c r="I60" s="12">
        <v>0</v>
      </c>
      <c r="J60" s="12" t="s">
        <v>43</v>
      </c>
      <c r="K60" s="28" t="s">
        <v>478</v>
      </c>
      <c r="L60" s="9">
        <v>9</v>
      </c>
      <c r="N60" t="e">
        <v>#REF!</v>
      </c>
      <c r="O60" t="str">
        <f t="shared" si="1"/>
        <v>Raymond Aubert</v>
      </c>
      <c r="P60" s="18">
        <v>9</v>
      </c>
    </row>
    <row r="61" spans="1:16" x14ac:dyDescent="0.45">
      <c r="A61" s="37">
        <v>60</v>
      </c>
      <c r="B61" s="37" t="s">
        <v>679</v>
      </c>
      <c r="C61" s="37" t="s">
        <v>1299</v>
      </c>
      <c r="D61" s="12" t="s">
        <v>189</v>
      </c>
      <c r="E61" s="12" t="s">
        <v>190</v>
      </c>
      <c r="F61" s="12">
        <v>0</v>
      </c>
      <c r="G61" s="12">
        <v>1</v>
      </c>
      <c r="H61" s="12">
        <v>27</v>
      </c>
      <c r="I61" s="12">
        <v>0</v>
      </c>
      <c r="J61" s="12" t="s">
        <v>43</v>
      </c>
      <c r="K61" s="28">
        <v>1</v>
      </c>
      <c r="N61" t="e">
        <v>#REF!</v>
      </c>
      <c r="O61" t="str">
        <f t="shared" si="1"/>
        <v>Vincent Blondel</v>
      </c>
      <c r="P61" s="18">
        <v>2</v>
      </c>
    </row>
    <row r="62" spans="1:16" x14ac:dyDescent="0.45">
      <c r="A62" s="37">
        <v>61</v>
      </c>
      <c r="B62" s="37" t="s">
        <v>1300</v>
      </c>
      <c r="C62" s="37" t="s">
        <v>1301</v>
      </c>
      <c r="D62" s="12" t="s">
        <v>557</v>
      </c>
      <c r="E62" s="12" t="s">
        <v>43</v>
      </c>
      <c r="F62" s="12">
        <v>1</v>
      </c>
      <c r="G62" s="12">
        <v>0</v>
      </c>
      <c r="H62" s="12">
        <v>22</v>
      </c>
      <c r="I62" s="12">
        <v>0</v>
      </c>
      <c r="J62" s="12" t="s">
        <v>43</v>
      </c>
      <c r="K62" s="28" t="s">
        <v>487</v>
      </c>
      <c r="N62" t="e">
        <v>#REF!</v>
      </c>
      <c r="O62" t="str">
        <f t="shared" si="1"/>
        <v>Dorothée Muller</v>
      </c>
      <c r="P62" s="18">
        <v>5</v>
      </c>
    </row>
    <row r="63" spans="1:16" x14ac:dyDescent="0.45">
      <c r="A63" s="37">
        <v>62</v>
      </c>
      <c r="B63" s="37" t="s">
        <v>1302</v>
      </c>
      <c r="C63" s="37" t="s">
        <v>1303</v>
      </c>
      <c r="D63" s="12" t="s">
        <v>558</v>
      </c>
      <c r="E63" s="12" t="s">
        <v>559</v>
      </c>
      <c r="F63" s="12">
        <v>1</v>
      </c>
      <c r="G63" s="12">
        <v>0</v>
      </c>
      <c r="H63" s="12">
        <v>13</v>
      </c>
      <c r="I63" s="12">
        <v>0</v>
      </c>
      <c r="J63" s="12" t="s">
        <v>43</v>
      </c>
      <c r="K63" s="28" t="s">
        <v>478</v>
      </c>
      <c r="N63" t="e">
        <v>#REF!</v>
      </c>
      <c r="O63" t="str">
        <f t="shared" si="1"/>
        <v>Emmanuelle Perret</v>
      </c>
      <c r="P63" s="18">
        <v>4</v>
      </c>
    </row>
    <row r="64" spans="1:16" x14ac:dyDescent="0.45">
      <c r="A64" s="37">
        <v>63</v>
      </c>
      <c r="B64" s="37" t="s">
        <v>1304</v>
      </c>
      <c r="C64" s="37" t="s">
        <v>1305</v>
      </c>
      <c r="D64" s="12" t="s">
        <v>560</v>
      </c>
      <c r="E64" s="12" t="s">
        <v>561</v>
      </c>
      <c r="F64" s="12">
        <v>1</v>
      </c>
      <c r="G64" s="12">
        <v>0</v>
      </c>
      <c r="H64" s="12">
        <v>20</v>
      </c>
      <c r="I64" s="12">
        <v>0</v>
      </c>
      <c r="J64" s="12" t="s">
        <v>43</v>
      </c>
      <c r="K64" s="28" t="s">
        <v>487</v>
      </c>
      <c r="N64" t="e">
        <v>#REF!</v>
      </c>
      <c r="O64" t="str">
        <f t="shared" si="1"/>
        <v>Martin Guillet</v>
      </c>
      <c r="P64" s="18">
        <v>8</v>
      </c>
    </row>
    <row r="65" spans="1:16" x14ac:dyDescent="0.45">
      <c r="A65" s="37">
        <v>64</v>
      </c>
      <c r="B65" s="37" t="s">
        <v>1306</v>
      </c>
      <c r="C65" s="37" t="s">
        <v>1285</v>
      </c>
      <c r="D65" s="12" t="s">
        <v>562</v>
      </c>
      <c r="E65" s="12" t="s">
        <v>43</v>
      </c>
      <c r="F65" s="12">
        <v>1</v>
      </c>
      <c r="G65" s="12">
        <v>0</v>
      </c>
      <c r="H65" s="12">
        <v>32</v>
      </c>
      <c r="I65" s="12">
        <v>0</v>
      </c>
      <c r="J65" s="12" t="s">
        <v>43</v>
      </c>
      <c r="K65" s="28" t="s">
        <v>478</v>
      </c>
      <c r="N65" t="e">
        <v>#REF!</v>
      </c>
      <c r="O65" t="str">
        <f t="shared" si="1"/>
        <v>Michèle Rocher</v>
      </c>
      <c r="P65" s="18">
        <v>6</v>
      </c>
    </row>
    <row r="66" spans="1:16" x14ac:dyDescent="0.45">
      <c r="A66" s="37">
        <v>65</v>
      </c>
      <c r="B66" s="37" t="s">
        <v>1307</v>
      </c>
      <c r="C66" s="37" t="s">
        <v>1308</v>
      </c>
      <c r="D66" s="12" t="s">
        <v>563</v>
      </c>
      <c r="E66" s="12" t="s">
        <v>564</v>
      </c>
      <c r="F66" s="12">
        <v>1</v>
      </c>
      <c r="G66" s="12">
        <v>0</v>
      </c>
      <c r="H66" s="12">
        <v>30</v>
      </c>
      <c r="I66" s="12">
        <v>0</v>
      </c>
      <c r="J66" s="12" t="s">
        <v>43</v>
      </c>
      <c r="K66" s="28" t="s">
        <v>487</v>
      </c>
      <c r="N66" t="e">
        <v>#REF!</v>
      </c>
      <c r="O66" t="str">
        <f t="shared" si="1"/>
        <v>Julie Chevalier</v>
      </c>
      <c r="P66" s="18">
        <v>8</v>
      </c>
    </row>
    <row r="67" spans="1:16" x14ac:dyDescent="0.45">
      <c r="A67" s="37">
        <v>66</v>
      </c>
      <c r="B67" s="37" t="s">
        <v>292</v>
      </c>
      <c r="C67" s="37" t="s">
        <v>1309</v>
      </c>
      <c r="D67" s="12" t="s">
        <v>191</v>
      </c>
      <c r="E67" s="12" t="s">
        <v>192</v>
      </c>
      <c r="F67" s="12">
        <v>0</v>
      </c>
      <c r="G67" s="12">
        <v>1</v>
      </c>
      <c r="H67" s="12">
        <v>42</v>
      </c>
      <c r="I67" s="12">
        <v>0</v>
      </c>
      <c r="J67" s="12" t="s">
        <v>43</v>
      </c>
      <c r="K67" s="28">
        <v>1</v>
      </c>
      <c r="L67" s="9">
        <v>9</v>
      </c>
      <c r="N67" t="e">
        <v>#REF!</v>
      </c>
      <c r="O67" t="str">
        <f t="shared" si="1"/>
        <v>Charles Neveu</v>
      </c>
      <c r="P67" s="18">
        <v>9</v>
      </c>
    </row>
    <row r="68" spans="1:16" x14ac:dyDescent="0.45">
      <c r="A68" s="37">
        <v>67</v>
      </c>
      <c r="B68" s="37" t="s">
        <v>1279</v>
      </c>
      <c r="C68" s="37" t="s">
        <v>1310</v>
      </c>
      <c r="D68" s="12" t="s">
        <v>565</v>
      </c>
      <c r="E68" s="12" t="s">
        <v>566</v>
      </c>
      <c r="F68" s="12">
        <v>1</v>
      </c>
      <c r="G68" s="12">
        <v>0</v>
      </c>
      <c r="H68" s="12">
        <v>21</v>
      </c>
      <c r="I68" s="12">
        <v>0</v>
      </c>
      <c r="J68" s="12" t="s">
        <v>43</v>
      </c>
      <c r="K68" s="28" t="s">
        <v>478</v>
      </c>
      <c r="N68" t="e">
        <v>#REF!</v>
      </c>
      <c r="O68" t="str">
        <f t="shared" si="1"/>
        <v>Joséphine Hebert</v>
      </c>
      <c r="P68" s="18">
        <v>3</v>
      </c>
    </row>
    <row r="69" spans="1:16" x14ac:dyDescent="0.45">
      <c r="A69" s="37">
        <v>68</v>
      </c>
      <c r="B69" s="37" t="s">
        <v>1279</v>
      </c>
      <c r="C69" s="37" t="s">
        <v>1311</v>
      </c>
      <c r="D69" s="12" t="s">
        <v>567</v>
      </c>
      <c r="E69" s="12" t="s">
        <v>568</v>
      </c>
      <c r="F69" s="12">
        <v>1</v>
      </c>
      <c r="G69" s="12">
        <v>0</v>
      </c>
      <c r="H69" s="12">
        <v>41</v>
      </c>
      <c r="I69" s="12">
        <v>0</v>
      </c>
      <c r="J69" s="12" t="s">
        <v>43</v>
      </c>
      <c r="K69" s="28" t="s">
        <v>478</v>
      </c>
      <c r="L69" s="9">
        <v>9</v>
      </c>
      <c r="N69" t="e">
        <v>#REF!</v>
      </c>
      <c r="O69" t="str">
        <f t="shared" si="1"/>
        <v>Joséphine Baron</v>
      </c>
      <c r="P69" s="18">
        <v>9</v>
      </c>
    </row>
    <row r="70" spans="1:16" x14ac:dyDescent="0.45">
      <c r="A70" s="37">
        <v>69</v>
      </c>
      <c r="B70" s="37" t="s">
        <v>522</v>
      </c>
      <c r="C70" s="37" t="s">
        <v>1312</v>
      </c>
      <c r="D70" s="12" t="s">
        <v>194</v>
      </c>
      <c r="E70" s="12" t="s">
        <v>195</v>
      </c>
      <c r="F70" s="12">
        <v>0</v>
      </c>
      <c r="G70" s="12">
        <v>1</v>
      </c>
      <c r="H70" s="12">
        <v>26</v>
      </c>
      <c r="I70" s="12">
        <v>0</v>
      </c>
      <c r="J70" s="12" t="s">
        <v>43</v>
      </c>
      <c r="K70" s="28">
        <v>1</v>
      </c>
      <c r="N70" t="e">
        <v>#REF!</v>
      </c>
      <c r="O70" t="str">
        <f t="shared" si="1"/>
        <v>Constance Bigot</v>
      </c>
      <c r="P70" s="18">
        <v>4</v>
      </c>
    </row>
    <row r="71" spans="1:16" x14ac:dyDescent="0.45">
      <c r="A71" s="37">
        <v>70</v>
      </c>
      <c r="B71" s="37" t="s">
        <v>1279</v>
      </c>
      <c r="C71" s="37" t="s">
        <v>1313</v>
      </c>
      <c r="D71" s="12" t="s">
        <v>569</v>
      </c>
      <c r="E71" s="12" t="s">
        <v>570</v>
      </c>
      <c r="F71" s="12">
        <v>1</v>
      </c>
      <c r="G71" s="12">
        <v>0</v>
      </c>
      <c r="H71" s="12">
        <v>33</v>
      </c>
      <c r="I71" s="12">
        <v>0</v>
      </c>
      <c r="J71" s="12" t="s">
        <v>43</v>
      </c>
      <c r="K71" s="28" t="s">
        <v>478</v>
      </c>
      <c r="N71" t="e">
        <v>#REF!</v>
      </c>
      <c r="O71" t="str">
        <f t="shared" si="1"/>
        <v>Joséphine Chartier</v>
      </c>
      <c r="P71" s="18">
        <v>8</v>
      </c>
    </row>
    <row r="72" spans="1:16" x14ac:dyDescent="0.45">
      <c r="A72" s="37">
        <v>71</v>
      </c>
      <c r="B72" s="37" t="s">
        <v>1307</v>
      </c>
      <c r="C72" s="37" t="s">
        <v>1314</v>
      </c>
      <c r="D72" s="12" t="s">
        <v>571</v>
      </c>
      <c r="E72" s="12" t="s">
        <v>572</v>
      </c>
      <c r="F72" s="12">
        <v>1</v>
      </c>
      <c r="G72" s="12">
        <v>0</v>
      </c>
      <c r="H72" s="12">
        <v>36</v>
      </c>
      <c r="I72" s="12">
        <v>0</v>
      </c>
      <c r="J72" s="12" t="s">
        <v>43</v>
      </c>
      <c r="K72" s="28" t="s">
        <v>478</v>
      </c>
      <c r="N72" t="e">
        <v>#REF!</v>
      </c>
      <c r="O72" t="str">
        <f t="shared" si="1"/>
        <v>Julie Léger</v>
      </c>
      <c r="P72" s="18">
        <v>3</v>
      </c>
    </row>
    <row r="73" spans="1:16" x14ac:dyDescent="0.45">
      <c r="A73" s="37">
        <v>72</v>
      </c>
      <c r="B73" s="37" t="s">
        <v>1211</v>
      </c>
      <c r="C73" s="37" t="s">
        <v>1315</v>
      </c>
      <c r="D73" s="12" t="s">
        <v>573</v>
      </c>
      <c r="E73" s="12" t="s">
        <v>574</v>
      </c>
      <c r="F73" s="12">
        <v>1</v>
      </c>
      <c r="G73" s="12">
        <v>0</v>
      </c>
      <c r="H73" s="12">
        <v>9</v>
      </c>
      <c r="I73" s="12">
        <v>0</v>
      </c>
      <c r="J73" s="12" t="s">
        <v>43</v>
      </c>
      <c r="K73" s="28" t="s">
        <v>478</v>
      </c>
      <c r="N73" t="e">
        <v>#REF!</v>
      </c>
      <c r="O73" t="str">
        <f t="shared" si="1"/>
        <v>Margaret Maillot</v>
      </c>
      <c r="P73" s="18">
        <v>1</v>
      </c>
    </row>
    <row r="74" spans="1:16" x14ac:dyDescent="0.45">
      <c r="A74" s="37">
        <v>73</v>
      </c>
      <c r="B74" s="37" t="s">
        <v>1251</v>
      </c>
      <c r="C74" s="37" t="s">
        <v>542</v>
      </c>
      <c r="D74" s="12" t="s">
        <v>575</v>
      </c>
      <c r="E74" s="12" t="s">
        <v>576</v>
      </c>
      <c r="F74" s="12">
        <v>1</v>
      </c>
      <c r="G74" s="12">
        <v>0</v>
      </c>
      <c r="H74" s="12">
        <v>8</v>
      </c>
      <c r="I74" s="12">
        <v>0</v>
      </c>
      <c r="J74" s="12" t="s">
        <v>43</v>
      </c>
      <c r="K74" s="28" t="s">
        <v>478</v>
      </c>
      <c r="N74" t="e">
        <v>#REF!</v>
      </c>
      <c r="O74" t="str">
        <f t="shared" si="1"/>
        <v>Philippe Nicolas</v>
      </c>
      <c r="P74" s="18">
        <v>8</v>
      </c>
    </row>
    <row r="75" spans="1:16" x14ac:dyDescent="0.45">
      <c r="A75" s="37">
        <v>74</v>
      </c>
      <c r="B75" s="37" t="s">
        <v>1316</v>
      </c>
      <c r="C75" s="37" t="s">
        <v>1317</v>
      </c>
      <c r="D75" s="12" t="s">
        <v>77</v>
      </c>
      <c r="E75" s="12" t="s">
        <v>78</v>
      </c>
      <c r="F75" s="12">
        <v>0</v>
      </c>
      <c r="G75" s="12">
        <v>0</v>
      </c>
      <c r="H75" s="12"/>
      <c r="I75" s="12">
        <v>1</v>
      </c>
      <c r="J75" s="12" t="s">
        <v>79</v>
      </c>
      <c r="K75" s="28">
        <v>1</v>
      </c>
      <c r="L75" s="9">
        <v>1</v>
      </c>
      <c r="N75" t="e">
        <v>#REF!</v>
      </c>
      <c r="O75" t="str">
        <f t="shared" si="1"/>
        <v>Adélaïde Parent</v>
      </c>
      <c r="P75" s="18">
        <v>1</v>
      </c>
    </row>
    <row r="76" spans="1:16" x14ac:dyDescent="0.45">
      <c r="A76" s="37">
        <v>75</v>
      </c>
      <c r="B76" s="37" t="s">
        <v>1318</v>
      </c>
      <c r="C76" s="37" t="s">
        <v>1219</v>
      </c>
      <c r="D76" s="12" t="s">
        <v>577</v>
      </c>
      <c r="E76" s="12" t="s">
        <v>578</v>
      </c>
      <c r="F76" s="12">
        <v>1</v>
      </c>
      <c r="G76" s="12">
        <v>0</v>
      </c>
      <c r="H76" s="12">
        <v>28</v>
      </c>
      <c r="I76" s="12">
        <v>0</v>
      </c>
      <c r="J76" s="12" t="s">
        <v>43</v>
      </c>
      <c r="K76" s="28" t="s">
        <v>478</v>
      </c>
      <c r="N76" t="e">
        <v>#REF!</v>
      </c>
      <c r="O76" t="str">
        <f t="shared" si="1"/>
        <v>Marcelle Clerc</v>
      </c>
      <c r="P76" s="18">
        <v>7</v>
      </c>
    </row>
    <row r="77" spans="1:16" x14ac:dyDescent="0.45">
      <c r="A77" s="37">
        <v>76</v>
      </c>
      <c r="B77" s="37" t="s">
        <v>50</v>
      </c>
      <c r="C77" s="37" t="s">
        <v>1319</v>
      </c>
      <c r="D77" s="12" t="s">
        <v>196</v>
      </c>
      <c r="E77" s="12" t="s">
        <v>197</v>
      </c>
      <c r="F77" s="12">
        <v>0</v>
      </c>
      <c r="G77" s="12">
        <v>1</v>
      </c>
      <c r="H77" s="12">
        <v>21</v>
      </c>
      <c r="I77" s="12">
        <v>0</v>
      </c>
      <c r="J77" s="12" t="s">
        <v>43</v>
      </c>
      <c r="K77" s="28">
        <v>1</v>
      </c>
      <c r="N77" t="e">
        <v>#REF!</v>
      </c>
      <c r="O77" t="str">
        <f t="shared" si="1"/>
        <v>Julien Girard</v>
      </c>
      <c r="P77" s="18">
        <v>3</v>
      </c>
    </row>
    <row r="78" spans="1:16" x14ac:dyDescent="0.45">
      <c r="A78" s="37">
        <v>77</v>
      </c>
      <c r="B78" s="37" t="s">
        <v>682</v>
      </c>
      <c r="C78" s="37" t="s">
        <v>1282</v>
      </c>
      <c r="D78" s="12" t="s">
        <v>579</v>
      </c>
      <c r="E78" s="12" t="s">
        <v>580</v>
      </c>
      <c r="F78" s="12">
        <v>1</v>
      </c>
      <c r="G78" s="12">
        <v>0</v>
      </c>
      <c r="H78" s="12">
        <v>36</v>
      </c>
      <c r="I78" s="12">
        <v>0</v>
      </c>
      <c r="J78" s="12" t="s">
        <v>43</v>
      </c>
      <c r="K78" s="28" t="s">
        <v>478</v>
      </c>
      <c r="N78" t="e">
        <v>#REF!</v>
      </c>
      <c r="O78" t="str">
        <f t="shared" si="1"/>
        <v>Timothée Lecomte</v>
      </c>
      <c r="P78" s="18">
        <v>3</v>
      </c>
    </row>
    <row r="79" spans="1:16" x14ac:dyDescent="0.45">
      <c r="A79" s="37">
        <v>78</v>
      </c>
      <c r="B79" s="37" t="s">
        <v>556</v>
      </c>
      <c r="C79" s="37" t="s">
        <v>1320</v>
      </c>
      <c r="D79" s="12" t="s">
        <v>581</v>
      </c>
      <c r="E79" s="12" t="s">
        <v>582</v>
      </c>
      <c r="F79" s="12">
        <v>1</v>
      </c>
      <c r="G79" s="12">
        <v>0</v>
      </c>
      <c r="H79" s="12">
        <v>20</v>
      </c>
      <c r="I79" s="12">
        <v>0</v>
      </c>
      <c r="J79" s="12" t="s">
        <v>43</v>
      </c>
      <c r="K79" s="28" t="s">
        <v>487</v>
      </c>
      <c r="N79" t="e">
        <v>#REF!</v>
      </c>
      <c r="O79" t="str">
        <f t="shared" si="1"/>
        <v>Mathilde Traore</v>
      </c>
      <c r="P79" s="18">
        <v>8</v>
      </c>
    </row>
    <row r="80" spans="1:16" x14ac:dyDescent="0.45">
      <c r="A80" s="37">
        <v>79</v>
      </c>
      <c r="B80" s="37" t="s">
        <v>1321</v>
      </c>
      <c r="C80" s="37" t="s">
        <v>1320</v>
      </c>
      <c r="D80" s="12" t="s">
        <v>198</v>
      </c>
      <c r="E80" s="12" t="s">
        <v>199</v>
      </c>
      <c r="F80" s="12">
        <v>0</v>
      </c>
      <c r="G80" s="12">
        <v>1</v>
      </c>
      <c r="H80" s="12">
        <v>16</v>
      </c>
      <c r="I80" s="12">
        <v>0</v>
      </c>
      <c r="J80" s="12" t="s">
        <v>43</v>
      </c>
      <c r="K80" s="28">
        <v>1</v>
      </c>
      <c r="N80" t="e">
        <v>#REF!</v>
      </c>
      <c r="O80" t="str">
        <f t="shared" si="1"/>
        <v>Valérie Traore</v>
      </c>
      <c r="P80" s="18">
        <v>6</v>
      </c>
    </row>
    <row r="81" spans="1:16" x14ac:dyDescent="0.45">
      <c r="A81" s="37">
        <v>80</v>
      </c>
      <c r="B81" s="37" t="s">
        <v>820</v>
      </c>
      <c r="C81" s="37" t="s">
        <v>1322</v>
      </c>
      <c r="D81" s="12" t="s">
        <v>584</v>
      </c>
      <c r="E81" s="12" t="s">
        <v>585</v>
      </c>
      <c r="F81" s="12">
        <v>1</v>
      </c>
      <c r="G81" s="12">
        <v>0</v>
      </c>
      <c r="H81" s="12">
        <v>34</v>
      </c>
      <c r="I81" s="12">
        <v>0</v>
      </c>
      <c r="J81" s="12" t="s">
        <v>43</v>
      </c>
      <c r="K81" s="28" t="s">
        <v>478</v>
      </c>
      <c r="N81" t="e">
        <v>#REF!</v>
      </c>
      <c r="O81" t="str">
        <f t="shared" si="1"/>
        <v>Luc Legrand</v>
      </c>
      <c r="P81" s="18">
        <v>3</v>
      </c>
    </row>
    <row r="82" spans="1:16" x14ac:dyDescent="0.45">
      <c r="A82" s="37">
        <v>81</v>
      </c>
      <c r="B82" s="37" t="s">
        <v>1323</v>
      </c>
      <c r="C82" s="37" t="s">
        <v>1324</v>
      </c>
      <c r="D82" s="12" t="s">
        <v>586</v>
      </c>
      <c r="E82" s="12" t="s">
        <v>587</v>
      </c>
      <c r="F82" s="12">
        <v>1</v>
      </c>
      <c r="G82" s="12">
        <v>0</v>
      </c>
      <c r="H82" s="12">
        <v>33</v>
      </c>
      <c r="I82" s="12">
        <v>0</v>
      </c>
      <c r="J82" s="12" t="s">
        <v>43</v>
      </c>
      <c r="K82" s="28" t="s">
        <v>478</v>
      </c>
      <c r="N82" t="e">
        <v>#REF!</v>
      </c>
      <c r="O82" t="str">
        <f t="shared" si="1"/>
        <v>Éric Michel</v>
      </c>
      <c r="P82" s="18">
        <v>8</v>
      </c>
    </row>
    <row r="83" spans="1:16" x14ac:dyDescent="0.45">
      <c r="A83" s="37">
        <v>82</v>
      </c>
      <c r="B83" s="37" t="s">
        <v>1325</v>
      </c>
      <c r="C83" s="37" t="s">
        <v>1326</v>
      </c>
      <c r="D83" s="12" t="s">
        <v>200</v>
      </c>
      <c r="E83" s="12" t="s">
        <v>201</v>
      </c>
      <c r="F83" s="12">
        <v>0</v>
      </c>
      <c r="G83" s="12">
        <v>1</v>
      </c>
      <c r="H83" s="12">
        <v>28</v>
      </c>
      <c r="I83" s="12">
        <v>0</v>
      </c>
      <c r="J83" s="12" t="s">
        <v>43</v>
      </c>
      <c r="K83" s="28">
        <v>1</v>
      </c>
      <c r="N83" t="e">
        <v>#REF!</v>
      </c>
      <c r="O83" t="str">
        <f t="shared" si="1"/>
        <v>Xavier David</v>
      </c>
      <c r="P83" s="18">
        <v>7</v>
      </c>
    </row>
    <row r="84" spans="1:16" x14ac:dyDescent="0.45">
      <c r="A84" s="37">
        <v>83</v>
      </c>
      <c r="B84" s="37" t="s">
        <v>1327</v>
      </c>
      <c r="C84" s="37" t="s">
        <v>1271</v>
      </c>
      <c r="D84" s="12" t="s">
        <v>202</v>
      </c>
      <c r="E84" s="12" t="s">
        <v>203</v>
      </c>
      <c r="F84" s="12">
        <v>0</v>
      </c>
      <c r="G84" s="12">
        <v>1</v>
      </c>
      <c r="H84" s="12">
        <v>19</v>
      </c>
      <c r="I84" s="12">
        <v>0</v>
      </c>
      <c r="J84" s="12" t="s">
        <v>43</v>
      </c>
      <c r="K84" s="28">
        <v>1</v>
      </c>
      <c r="N84" t="e">
        <v>#REF!</v>
      </c>
      <c r="O84" t="str">
        <f t="shared" si="1"/>
        <v>Valentine Leclerc</v>
      </c>
      <c r="P84" s="18">
        <v>3</v>
      </c>
    </row>
    <row r="85" spans="1:16" x14ac:dyDescent="0.45">
      <c r="A85" s="37">
        <v>84</v>
      </c>
      <c r="B85" s="37" t="s">
        <v>1328</v>
      </c>
      <c r="C85" s="37" t="s">
        <v>1329</v>
      </c>
      <c r="D85" s="12" t="s">
        <v>589</v>
      </c>
      <c r="E85" s="12" t="s">
        <v>590</v>
      </c>
      <c r="F85" s="12">
        <v>1</v>
      </c>
      <c r="G85" s="12">
        <v>0</v>
      </c>
      <c r="H85" s="12">
        <v>32</v>
      </c>
      <c r="I85" s="12">
        <v>0</v>
      </c>
      <c r="J85" s="12" t="s">
        <v>43</v>
      </c>
      <c r="K85" s="28" t="s">
        <v>478</v>
      </c>
      <c r="N85" t="e">
        <v>#REF!</v>
      </c>
      <c r="O85" t="str">
        <f t="shared" si="1"/>
        <v>Adrienne Dias</v>
      </c>
      <c r="P85" s="18">
        <v>6</v>
      </c>
    </row>
    <row r="86" spans="1:16" x14ac:dyDescent="0.45">
      <c r="A86" s="37">
        <v>85</v>
      </c>
      <c r="B86" s="37" t="s">
        <v>1330</v>
      </c>
      <c r="C86" s="37" t="s">
        <v>1331</v>
      </c>
      <c r="D86" s="12" t="s">
        <v>204</v>
      </c>
      <c r="E86" s="12" t="s">
        <v>205</v>
      </c>
      <c r="F86" s="12">
        <v>0</v>
      </c>
      <c r="G86" s="12">
        <v>1</v>
      </c>
      <c r="H86" s="12">
        <v>6</v>
      </c>
      <c r="I86" s="12">
        <v>0</v>
      </c>
      <c r="J86" s="12" t="s">
        <v>43</v>
      </c>
      <c r="K86" s="28">
        <v>1</v>
      </c>
      <c r="N86" t="e">
        <v>#REF!</v>
      </c>
      <c r="O86" t="str">
        <f t="shared" si="1"/>
        <v>Martine Vasseur</v>
      </c>
      <c r="P86" s="18">
        <v>9</v>
      </c>
    </row>
    <row r="87" spans="1:16" x14ac:dyDescent="0.45">
      <c r="A87" s="37">
        <v>86</v>
      </c>
      <c r="B87" s="37" t="s">
        <v>1262</v>
      </c>
      <c r="C87" s="37" t="s">
        <v>1311</v>
      </c>
      <c r="D87" s="12" t="s">
        <v>591</v>
      </c>
      <c r="E87" s="12" t="s">
        <v>592</v>
      </c>
      <c r="F87" s="12">
        <v>1</v>
      </c>
      <c r="G87" s="12">
        <v>0</v>
      </c>
      <c r="H87" s="12">
        <v>10</v>
      </c>
      <c r="I87" s="12">
        <v>0</v>
      </c>
      <c r="J87" s="12" t="s">
        <v>43</v>
      </c>
      <c r="K87" s="28" t="s">
        <v>478</v>
      </c>
      <c r="N87" t="e">
        <v>#REF!</v>
      </c>
      <c r="O87" t="str">
        <f t="shared" si="1"/>
        <v>Suzanne Baron</v>
      </c>
      <c r="P87" s="18">
        <v>2</v>
      </c>
    </row>
    <row r="88" spans="1:16" x14ac:dyDescent="0.45">
      <c r="A88" s="37">
        <v>87</v>
      </c>
      <c r="B88" s="37" t="s">
        <v>1256</v>
      </c>
      <c r="C88" s="37" t="s">
        <v>1332</v>
      </c>
      <c r="D88" s="12" t="s">
        <v>593</v>
      </c>
      <c r="E88" s="12" t="s">
        <v>594</v>
      </c>
      <c r="F88" s="12">
        <v>1</v>
      </c>
      <c r="G88" s="12">
        <v>0</v>
      </c>
      <c r="H88" s="12">
        <v>22</v>
      </c>
      <c r="I88" s="12">
        <v>0</v>
      </c>
      <c r="J88" s="12" t="s">
        <v>43</v>
      </c>
      <c r="K88" s="28" t="s">
        <v>487</v>
      </c>
      <c r="N88" t="e">
        <v>#REF!</v>
      </c>
      <c r="O88" t="str">
        <f t="shared" si="1"/>
        <v>Raymond Texier</v>
      </c>
      <c r="P88" s="18">
        <v>5</v>
      </c>
    </row>
    <row r="89" spans="1:16" x14ac:dyDescent="0.45">
      <c r="A89" s="37">
        <v>88</v>
      </c>
      <c r="B89" s="37" t="s">
        <v>1333</v>
      </c>
      <c r="C89" s="37" t="s">
        <v>1334</v>
      </c>
      <c r="D89" s="12" t="s">
        <v>595</v>
      </c>
      <c r="E89" s="12" t="s">
        <v>596</v>
      </c>
      <c r="F89" s="12">
        <v>1</v>
      </c>
      <c r="G89" s="12">
        <v>0</v>
      </c>
      <c r="H89" s="12">
        <v>20</v>
      </c>
      <c r="I89" s="12">
        <v>0</v>
      </c>
      <c r="J89" s="12" t="s">
        <v>43</v>
      </c>
      <c r="K89" s="28" t="s">
        <v>487</v>
      </c>
      <c r="N89" t="e">
        <v>#REF!</v>
      </c>
      <c r="O89" t="str">
        <f t="shared" si="1"/>
        <v>Simone Bourgeois</v>
      </c>
      <c r="P89" s="18">
        <v>8</v>
      </c>
    </row>
    <row r="90" spans="1:16" x14ac:dyDescent="0.45">
      <c r="A90" s="37">
        <v>89</v>
      </c>
      <c r="B90" s="37" t="s">
        <v>1326</v>
      </c>
      <c r="C90" s="37" t="s">
        <v>436</v>
      </c>
      <c r="D90" s="12" t="s">
        <v>597</v>
      </c>
      <c r="E90" s="12" t="s">
        <v>598</v>
      </c>
      <c r="F90" s="12">
        <v>1</v>
      </c>
      <c r="G90" s="12">
        <v>0</v>
      </c>
      <c r="H90" s="12">
        <v>17</v>
      </c>
      <c r="I90" s="12">
        <v>0</v>
      </c>
      <c r="J90" s="12" t="s">
        <v>43</v>
      </c>
      <c r="K90" s="28" t="s">
        <v>478</v>
      </c>
      <c r="N90" t="e">
        <v>#REF!</v>
      </c>
      <c r="O90" t="str">
        <f t="shared" si="1"/>
        <v>David Marion</v>
      </c>
      <c r="P90" s="18">
        <v>3</v>
      </c>
    </row>
    <row r="91" spans="1:16" x14ac:dyDescent="0.45">
      <c r="A91" s="37">
        <v>90</v>
      </c>
      <c r="B91" s="37" t="s">
        <v>1251</v>
      </c>
      <c r="C91" s="37" t="s">
        <v>1335</v>
      </c>
      <c r="D91" s="12" t="s">
        <v>599</v>
      </c>
      <c r="E91" s="12" t="s">
        <v>600</v>
      </c>
      <c r="F91" s="12">
        <v>1</v>
      </c>
      <c r="G91" s="12">
        <v>0</v>
      </c>
      <c r="H91" s="12">
        <v>18</v>
      </c>
      <c r="I91" s="12">
        <v>0</v>
      </c>
      <c r="J91" s="12" t="s">
        <v>43</v>
      </c>
      <c r="K91" s="28" t="s">
        <v>478</v>
      </c>
      <c r="N91" t="e">
        <v>#REF!</v>
      </c>
      <c r="O91" t="str">
        <f t="shared" si="1"/>
        <v>Philippe Morvan</v>
      </c>
      <c r="P91" s="18">
        <v>7</v>
      </c>
    </row>
    <row r="92" spans="1:16" x14ac:dyDescent="0.45">
      <c r="A92" s="37">
        <v>91</v>
      </c>
      <c r="B92" s="37" t="s">
        <v>1216</v>
      </c>
      <c r="C92" s="37" t="s">
        <v>1336</v>
      </c>
      <c r="D92" s="12" t="s">
        <v>601</v>
      </c>
      <c r="E92" s="12" t="s">
        <v>602</v>
      </c>
      <c r="F92" s="12">
        <v>1</v>
      </c>
      <c r="G92" s="12">
        <v>0</v>
      </c>
      <c r="H92" s="12">
        <v>17</v>
      </c>
      <c r="I92" s="12">
        <v>0</v>
      </c>
      <c r="J92" s="12" t="s">
        <v>43</v>
      </c>
      <c r="K92" s="28" t="s">
        <v>478</v>
      </c>
      <c r="N92" t="e">
        <v>#REF!</v>
      </c>
      <c r="O92" t="str">
        <f t="shared" si="1"/>
        <v>Robert Monnier</v>
      </c>
      <c r="P92" s="18">
        <v>3</v>
      </c>
    </row>
    <row r="93" spans="1:16" x14ac:dyDescent="0.45">
      <c r="A93" s="37">
        <v>92</v>
      </c>
      <c r="B93" s="37" t="s">
        <v>1337</v>
      </c>
      <c r="C93" s="37" t="s">
        <v>1250</v>
      </c>
      <c r="D93" s="12" t="s">
        <v>603</v>
      </c>
      <c r="E93" s="12" t="s">
        <v>604</v>
      </c>
      <c r="F93" s="12">
        <v>1</v>
      </c>
      <c r="G93" s="12">
        <v>0</v>
      </c>
      <c r="H93" s="12">
        <v>26</v>
      </c>
      <c r="I93" s="12">
        <v>0</v>
      </c>
      <c r="J93" s="12" t="s">
        <v>43</v>
      </c>
      <c r="K93" s="28" t="s">
        <v>478</v>
      </c>
      <c r="N93" t="e">
        <v>#REF!</v>
      </c>
      <c r="O93" t="str">
        <f t="shared" si="1"/>
        <v>Sabine Rolland</v>
      </c>
      <c r="P93" s="18">
        <v>4</v>
      </c>
    </row>
    <row r="94" spans="1:16" x14ac:dyDescent="0.45">
      <c r="A94" s="37">
        <v>93</v>
      </c>
      <c r="B94" s="37" t="s">
        <v>1338</v>
      </c>
      <c r="C94" s="37" t="s">
        <v>1339</v>
      </c>
      <c r="D94" s="12" t="s">
        <v>207</v>
      </c>
      <c r="E94" s="12" t="s">
        <v>208</v>
      </c>
      <c r="F94" s="12">
        <v>0</v>
      </c>
      <c r="G94" s="12">
        <v>1</v>
      </c>
      <c r="H94" s="12">
        <v>23</v>
      </c>
      <c r="I94" s="12">
        <v>0</v>
      </c>
      <c r="J94" s="12" t="s">
        <v>43</v>
      </c>
      <c r="K94" s="28">
        <v>1</v>
      </c>
      <c r="N94" t="e">
        <v>#REF!</v>
      </c>
      <c r="O94" t="str">
        <f t="shared" si="1"/>
        <v>Édith De Sousa</v>
      </c>
      <c r="P94" s="18">
        <v>5</v>
      </c>
    </row>
    <row r="95" spans="1:16" x14ac:dyDescent="0.45">
      <c r="A95" s="37">
        <v>94</v>
      </c>
      <c r="B95" s="37" t="s">
        <v>1340</v>
      </c>
      <c r="C95" s="37" t="s">
        <v>1341</v>
      </c>
      <c r="D95" s="12" t="s">
        <v>605</v>
      </c>
      <c r="E95" s="12" t="s">
        <v>606</v>
      </c>
      <c r="F95" s="12">
        <v>1</v>
      </c>
      <c r="G95" s="12">
        <v>0</v>
      </c>
      <c r="H95" s="12">
        <v>40</v>
      </c>
      <c r="I95" s="12">
        <v>0</v>
      </c>
      <c r="J95" s="12" t="s">
        <v>43</v>
      </c>
      <c r="K95" s="28" t="s">
        <v>478</v>
      </c>
      <c r="L95" s="9">
        <v>9</v>
      </c>
      <c r="N95" t="e">
        <v>#REF!</v>
      </c>
      <c r="O95" t="str">
        <f t="shared" si="1"/>
        <v>Christophe Delaunay</v>
      </c>
      <c r="P95" s="18">
        <v>9</v>
      </c>
    </row>
    <row r="96" spans="1:16" x14ac:dyDescent="0.45">
      <c r="A96" s="37">
        <v>95</v>
      </c>
      <c r="B96" s="37" t="s">
        <v>1279</v>
      </c>
      <c r="C96" s="37" t="s">
        <v>1341</v>
      </c>
      <c r="D96" s="12" t="s">
        <v>607</v>
      </c>
      <c r="E96" s="12" t="s">
        <v>608</v>
      </c>
      <c r="F96" s="12">
        <v>1</v>
      </c>
      <c r="G96" s="12">
        <v>0</v>
      </c>
      <c r="H96" s="12">
        <v>11</v>
      </c>
      <c r="I96" s="12">
        <v>0</v>
      </c>
      <c r="J96" s="12" t="s">
        <v>43</v>
      </c>
      <c r="K96" s="28" t="s">
        <v>478</v>
      </c>
      <c r="N96" t="e">
        <v>#REF!</v>
      </c>
      <c r="O96" t="str">
        <f t="shared" si="1"/>
        <v>Joséphine Delaunay</v>
      </c>
      <c r="P96" s="18">
        <v>4</v>
      </c>
    </row>
    <row r="97" spans="1:16" x14ac:dyDescent="0.45">
      <c r="A97" s="37">
        <v>96</v>
      </c>
      <c r="B97" s="37" t="s">
        <v>1342</v>
      </c>
      <c r="C97" s="37" t="s">
        <v>1271</v>
      </c>
      <c r="D97" s="12" t="s">
        <v>209</v>
      </c>
      <c r="E97" s="12" t="s">
        <v>210</v>
      </c>
      <c r="F97" s="12">
        <v>0</v>
      </c>
      <c r="G97" s="12">
        <v>1</v>
      </c>
      <c r="H97" s="12">
        <v>26</v>
      </c>
      <c r="I97" s="12">
        <v>0</v>
      </c>
      <c r="J97" s="12" t="s">
        <v>43</v>
      </c>
      <c r="K97" s="28">
        <v>1</v>
      </c>
      <c r="N97" t="e">
        <v>#REF!</v>
      </c>
      <c r="O97" t="str">
        <f t="shared" si="1"/>
        <v>André Leclerc</v>
      </c>
      <c r="P97" s="18">
        <v>4</v>
      </c>
    </row>
    <row r="98" spans="1:16" x14ac:dyDescent="0.45">
      <c r="A98" s="37">
        <v>97</v>
      </c>
      <c r="B98" s="37" t="s">
        <v>1343</v>
      </c>
      <c r="C98" s="37" t="s">
        <v>1344</v>
      </c>
      <c r="D98" s="12" t="s">
        <v>609</v>
      </c>
      <c r="E98" s="12" t="s">
        <v>43</v>
      </c>
      <c r="F98" s="12">
        <v>1</v>
      </c>
      <c r="G98" s="12">
        <v>0</v>
      </c>
      <c r="H98" s="12">
        <v>26</v>
      </c>
      <c r="I98" s="12">
        <v>0</v>
      </c>
      <c r="J98" s="12" t="s">
        <v>43</v>
      </c>
      <c r="K98" s="28" t="s">
        <v>478</v>
      </c>
      <c r="N98" t="e">
        <v>#REF!</v>
      </c>
      <c r="O98" t="str">
        <f t="shared" ref="O98:O161" si="2">_xlfn.CONCAT(B98, " ", C98)</f>
        <v>Véronique Guilbert</v>
      </c>
      <c r="P98" s="18">
        <v>4</v>
      </c>
    </row>
    <row r="99" spans="1:16" x14ac:dyDescent="0.45">
      <c r="A99" s="37">
        <v>98</v>
      </c>
      <c r="B99" s="37" t="s">
        <v>1239</v>
      </c>
      <c r="C99" s="37" t="s">
        <v>1224</v>
      </c>
      <c r="D99" s="12" t="s">
        <v>610</v>
      </c>
      <c r="E99" s="12" t="s">
        <v>611</v>
      </c>
      <c r="F99" s="12">
        <v>1</v>
      </c>
      <c r="G99" s="12">
        <v>0</v>
      </c>
      <c r="H99" s="12">
        <v>19</v>
      </c>
      <c r="I99" s="12">
        <v>0</v>
      </c>
      <c r="J99" s="12" t="s">
        <v>43</v>
      </c>
      <c r="K99" s="28" t="s">
        <v>487</v>
      </c>
      <c r="N99" t="e">
        <v>#REF!</v>
      </c>
      <c r="O99" t="str">
        <f t="shared" si="2"/>
        <v>Isabelle Pires</v>
      </c>
      <c r="P99" s="18">
        <v>3</v>
      </c>
    </row>
    <row r="100" spans="1:16" x14ac:dyDescent="0.45">
      <c r="A100" s="37">
        <v>99</v>
      </c>
      <c r="B100" s="37" t="s">
        <v>1345</v>
      </c>
      <c r="C100" s="37" t="s">
        <v>1215</v>
      </c>
      <c r="D100" s="12" t="s">
        <v>211</v>
      </c>
      <c r="E100" s="12" t="s">
        <v>212</v>
      </c>
      <c r="F100" s="12">
        <v>0</v>
      </c>
      <c r="G100" s="12">
        <v>1</v>
      </c>
      <c r="H100" s="12">
        <v>41</v>
      </c>
      <c r="I100" s="12">
        <v>0</v>
      </c>
      <c r="J100" s="12" t="s">
        <v>43</v>
      </c>
      <c r="K100" s="28">
        <v>1</v>
      </c>
      <c r="L100" s="9">
        <v>9</v>
      </c>
      <c r="N100" t="e">
        <v>#REF!</v>
      </c>
      <c r="O100" t="str">
        <f t="shared" si="2"/>
        <v>Astrid Lebreton</v>
      </c>
      <c r="P100" s="18">
        <v>9</v>
      </c>
    </row>
    <row r="101" spans="1:16" x14ac:dyDescent="0.45">
      <c r="A101" s="37">
        <v>100</v>
      </c>
      <c r="B101" s="37" t="s">
        <v>381</v>
      </c>
      <c r="C101" s="37" t="s">
        <v>1346</v>
      </c>
      <c r="D101" s="12" t="s">
        <v>213</v>
      </c>
      <c r="E101" s="12" t="s">
        <v>214</v>
      </c>
      <c r="F101" s="12">
        <v>0</v>
      </c>
      <c r="G101" s="12">
        <v>1</v>
      </c>
      <c r="H101" s="12">
        <v>14</v>
      </c>
      <c r="I101" s="12">
        <v>0</v>
      </c>
      <c r="J101" s="12" t="s">
        <v>43</v>
      </c>
      <c r="K101" s="28">
        <v>1</v>
      </c>
      <c r="N101" t="e">
        <v>#REF!</v>
      </c>
      <c r="O101" t="str">
        <f t="shared" si="2"/>
        <v>Diane Pottier</v>
      </c>
      <c r="P101" s="18">
        <v>7</v>
      </c>
    </row>
    <row r="102" spans="1:16" x14ac:dyDescent="0.45">
      <c r="A102" s="37">
        <v>101</v>
      </c>
      <c r="B102" s="37" t="s">
        <v>1323</v>
      </c>
      <c r="C102" s="37" t="s">
        <v>1347</v>
      </c>
      <c r="D102" s="12" t="s">
        <v>612</v>
      </c>
      <c r="E102" s="12" t="s">
        <v>43</v>
      </c>
      <c r="F102" s="12">
        <v>1</v>
      </c>
      <c r="G102" s="12">
        <v>0</v>
      </c>
      <c r="H102" s="12">
        <v>23</v>
      </c>
      <c r="I102" s="12">
        <v>0</v>
      </c>
      <c r="J102" s="12" t="s">
        <v>43</v>
      </c>
      <c r="K102" s="28" t="s">
        <v>478</v>
      </c>
      <c r="N102" t="e">
        <v>#REF!</v>
      </c>
      <c r="O102" t="str">
        <f t="shared" si="2"/>
        <v>Éric Albert</v>
      </c>
      <c r="P102" s="18">
        <v>5</v>
      </c>
    </row>
    <row r="103" spans="1:16" x14ac:dyDescent="0.45">
      <c r="A103" s="37">
        <v>102</v>
      </c>
      <c r="B103" s="37" t="s">
        <v>1247</v>
      </c>
      <c r="C103" s="37" t="s">
        <v>1348</v>
      </c>
      <c r="D103" s="12" t="s">
        <v>613</v>
      </c>
      <c r="E103" s="12" t="s">
        <v>614</v>
      </c>
      <c r="F103" s="12">
        <v>1</v>
      </c>
      <c r="G103" s="12">
        <v>0</v>
      </c>
      <c r="H103" s="12">
        <v>31</v>
      </c>
      <c r="I103" s="12">
        <v>0</v>
      </c>
      <c r="J103" s="12" t="s">
        <v>43</v>
      </c>
      <c r="K103" s="28" t="s">
        <v>478</v>
      </c>
      <c r="N103" t="e">
        <v>#REF!</v>
      </c>
      <c r="O103" t="str">
        <f t="shared" si="2"/>
        <v>Philippine Perrot</v>
      </c>
      <c r="P103" s="18">
        <v>6</v>
      </c>
    </row>
    <row r="104" spans="1:16" x14ac:dyDescent="0.45">
      <c r="A104" s="37">
        <v>103</v>
      </c>
      <c r="B104" s="37" t="s">
        <v>246</v>
      </c>
      <c r="C104" s="37" t="s">
        <v>1349</v>
      </c>
      <c r="D104" s="12" t="s">
        <v>215</v>
      </c>
      <c r="E104" s="12" t="s">
        <v>216</v>
      </c>
      <c r="F104" s="12">
        <v>0</v>
      </c>
      <c r="G104" s="12">
        <v>1</v>
      </c>
      <c r="H104" s="12">
        <v>23</v>
      </c>
      <c r="I104" s="12">
        <v>0</v>
      </c>
      <c r="J104" s="12" t="s">
        <v>43</v>
      </c>
      <c r="K104" s="28">
        <v>1</v>
      </c>
      <c r="N104" t="e">
        <v>#REF!</v>
      </c>
      <c r="O104" t="str">
        <f t="shared" si="2"/>
        <v>Margot Lemonnier</v>
      </c>
      <c r="P104" s="18">
        <v>5</v>
      </c>
    </row>
    <row r="105" spans="1:16" x14ac:dyDescent="0.45">
      <c r="A105" s="37">
        <v>104</v>
      </c>
      <c r="B105" s="37" t="s">
        <v>1350</v>
      </c>
      <c r="C105" s="37" t="s">
        <v>1351</v>
      </c>
      <c r="D105" s="12" t="s">
        <v>217</v>
      </c>
      <c r="E105" s="12" t="s">
        <v>218</v>
      </c>
      <c r="F105" s="12">
        <v>0</v>
      </c>
      <c r="G105" s="12">
        <v>1</v>
      </c>
      <c r="H105" s="12">
        <v>10</v>
      </c>
      <c r="I105" s="12">
        <v>0</v>
      </c>
      <c r="J105" s="12" t="s">
        <v>43</v>
      </c>
      <c r="K105" s="28">
        <v>1</v>
      </c>
      <c r="N105" t="e">
        <v>#REF!</v>
      </c>
      <c r="O105" t="str">
        <f t="shared" si="2"/>
        <v>Anne De Oliveira</v>
      </c>
      <c r="P105" s="18">
        <v>2</v>
      </c>
    </row>
    <row r="106" spans="1:16" x14ac:dyDescent="0.45">
      <c r="A106" s="37">
        <v>105</v>
      </c>
      <c r="B106" s="37" t="s">
        <v>825</v>
      </c>
      <c r="C106" s="37" t="s">
        <v>1352</v>
      </c>
      <c r="D106" s="12" t="s">
        <v>219</v>
      </c>
      <c r="E106" s="12" t="s">
        <v>220</v>
      </c>
      <c r="F106" s="12">
        <v>0</v>
      </c>
      <c r="G106" s="12">
        <v>1</v>
      </c>
      <c r="H106" s="12">
        <v>34</v>
      </c>
      <c r="I106" s="12">
        <v>0</v>
      </c>
      <c r="J106" s="12" t="s">
        <v>43</v>
      </c>
      <c r="K106" s="28">
        <v>1</v>
      </c>
      <c r="N106" t="e">
        <v>#REF!</v>
      </c>
      <c r="O106" t="str">
        <f t="shared" si="2"/>
        <v>Anaïs Mahe</v>
      </c>
      <c r="P106" s="18">
        <v>3</v>
      </c>
    </row>
    <row r="107" spans="1:16" x14ac:dyDescent="0.45">
      <c r="A107" s="37">
        <v>106</v>
      </c>
      <c r="B107" s="37" t="s">
        <v>257</v>
      </c>
      <c r="C107" s="37" t="s">
        <v>1353</v>
      </c>
      <c r="D107" s="12" t="s">
        <v>80</v>
      </c>
      <c r="E107" s="12" t="s">
        <v>81</v>
      </c>
      <c r="F107" s="12">
        <v>0</v>
      </c>
      <c r="G107" s="12">
        <v>0</v>
      </c>
      <c r="H107" s="12"/>
      <c r="I107" s="12">
        <v>1</v>
      </c>
      <c r="J107" s="12" t="s">
        <v>82</v>
      </c>
      <c r="K107" s="28">
        <v>1</v>
      </c>
      <c r="L107" s="9">
        <v>9</v>
      </c>
      <c r="N107" t="e">
        <v>#REF!</v>
      </c>
      <c r="O107" t="str">
        <f t="shared" si="2"/>
        <v>Louis Germain</v>
      </c>
      <c r="P107" s="18">
        <v>9</v>
      </c>
    </row>
    <row r="108" spans="1:16" x14ac:dyDescent="0.45">
      <c r="A108" s="37">
        <v>107</v>
      </c>
      <c r="B108" s="37" t="s">
        <v>1273</v>
      </c>
      <c r="C108" s="37" t="s">
        <v>1354</v>
      </c>
      <c r="D108" s="12" t="s">
        <v>222</v>
      </c>
      <c r="E108" s="12" t="s">
        <v>223</v>
      </c>
      <c r="F108" s="12">
        <v>0</v>
      </c>
      <c r="G108" s="12">
        <v>1</v>
      </c>
      <c r="H108" s="12">
        <v>19</v>
      </c>
      <c r="I108" s="12">
        <v>0</v>
      </c>
      <c r="J108" s="12" t="s">
        <v>43</v>
      </c>
      <c r="K108" s="28">
        <v>1</v>
      </c>
      <c r="N108" t="e">
        <v>#REF!</v>
      </c>
      <c r="O108" t="str">
        <f t="shared" si="2"/>
        <v>Aurélie Collin</v>
      </c>
      <c r="P108" s="18">
        <v>3</v>
      </c>
    </row>
    <row r="109" spans="1:16" x14ac:dyDescent="0.45">
      <c r="A109" s="37">
        <v>108</v>
      </c>
      <c r="B109" s="37" t="s">
        <v>1304</v>
      </c>
      <c r="C109" s="37" t="s">
        <v>1312</v>
      </c>
      <c r="D109" s="12" t="s">
        <v>224</v>
      </c>
      <c r="E109" s="12" t="s">
        <v>225</v>
      </c>
      <c r="F109" s="12">
        <v>0</v>
      </c>
      <c r="G109" s="12">
        <v>1</v>
      </c>
      <c r="H109" s="12">
        <v>24</v>
      </c>
      <c r="I109" s="12">
        <v>0</v>
      </c>
      <c r="J109" s="12" t="s">
        <v>43</v>
      </c>
      <c r="K109" s="28">
        <v>1</v>
      </c>
      <c r="N109" t="e">
        <v>#REF!</v>
      </c>
      <c r="O109" t="str">
        <f t="shared" si="2"/>
        <v>Martin Bigot</v>
      </c>
      <c r="P109" s="18">
        <v>6</v>
      </c>
    </row>
    <row r="110" spans="1:16" x14ac:dyDescent="0.45">
      <c r="A110" s="37">
        <v>109</v>
      </c>
      <c r="B110" s="37" t="s">
        <v>402</v>
      </c>
      <c r="C110" s="37" t="s">
        <v>1332</v>
      </c>
      <c r="D110" s="12" t="s">
        <v>615</v>
      </c>
      <c r="E110" s="12" t="s">
        <v>616</v>
      </c>
      <c r="F110" s="12">
        <v>1</v>
      </c>
      <c r="G110" s="12">
        <v>0</v>
      </c>
      <c r="H110" s="12">
        <v>42</v>
      </c>
      <c r="I110" s="12">
        <v>0</v>
      </c>
      <c r="J110" s="12" t="s">
        <v>43</v>
      </c>
      <c r="K110" s="28" t="s">
        <v>478</v>
      </c>
      <c r="L110" s="9">
        <v>9</v>
      </c>
      <c r="N110" t="e">
        <v>#REF!</v>
      </c>
      <c r="O110" t="str">
        <f t="shared" si="2"/>
        <v>Alexandre Texier</v>
      </c>
      <c r="P110" s="18">
        <v>9</v>
      </c>
    </row>
    <row r="111" spans="1:16" x14ac:dyDescent="0.45">
      <c r="A111" s="37">
        <v>110</v>
      </c>
      <c r="B111" s="37" t="s">
        <v>1355</v>
      </c>
      <c r="C111" s="37" t="s">
        <v>105</v>
      </c>
      <c r="D111" s="12" t="s">
        <v>617</v>
      </c>
      <c r="E111" s="12" t="s">
        <v>618</v>
      </c>
      <c r="F111" s="12">
        <v>1</v>
      </c>
      <c r="G111" s="12">
        <v>0</v>
      </c>
      <c r="H111" s="12">
        <v>11</v>
      </c>
      <c r="I111" s="12">
        <v>0</v>
      </c>
      <c r="J111" s="12" t="s">
        <v>43</v>
      </c>
      <c r="K111" s="28" t="s">
        <v>478</v>
      </c>
      <c r="N111" t="e">
        <v>#REF!</v>
      </c>
      <c r="O111" t="str">
        <f t="shared" si="2"/>
        <v>Alfred Gaudin</v>
      </c>
      <c r="P111" s="18">
        <v>4</v>
      </c>
    </row>
    <row r="112" spans="1:16" x14ac:dyDescent="0.45">
      <c r="A112" s="37">
        <v>111</v>
      </c>
      <c r="B112" s="37" t="s">
        <v>1356</v>
      </c>
      <c r="C112" s="37" t="s">
        <v>1357</v>
      </c>
      <c r="D112" s="12" t="s">
        <v>619</v>
      </c>
      <c r="E112" s="12" t="s">
        <v>43</v>
      </c>
      <c r="F112" s="12">
        <v>1</v>
      </c>
      <c r="G112" s="12">
        <v>0</v>
      </c>
      <c r="H112" s="12">
        <v>15</v>
      </c>
      <c r="I112" s="12">
        <v>0</v>
      </c>
      <c r="J112" s="12" t="s">
        <v>43</v>
      </c>
      <c r="K112" s="28" t="s">
        <v>478</v>
      </c>
      <c r="N112" t="e">
        <v>#REF!</v>
      </c>
      <c r="O112" t="str">
        <f t="shared" si="2"/>
        <v>Gérard Lévy</v>
      </c>
      <c r="P112" s="18">
        <v>2</v>
      </c>
    </row>
    <row r="113" spans="1:16" x14ac:dyDescent="0.45">
      <c r="A113" s="37">
        <v>112</v>
      </c>
      <c r="B113" s="37" t="s">
        <v>1223</v>
      </c>
      <c r="C113" s="37" t="s">
        <v>1358</v>
      </c>
      <c r="D113" s="12" t="s">
        <v>620</v>
      </c>
      <c r="E113" s="12" t="s">
        <v>621</v>
      </c>
      <c r="F113" s="12">
        <v>1</v>
      </c>
      <c r="G113" s="12">
        <v>0</v>
      </c>
      <c r="H113" s="12">
        <v>37</v>
      </c>
      <c r="I113" s="12">
        <v>0</v>
      </c>
      <c r="J113" s="12" t="s">
        <v>43</v>
      </c>
      <c r="K113" s="28" t="s">
        <v>478</v>
      </c>
      <c r="N113" t="e">
        <v>#REF!</v>
      </c>
      <c r="O113" t="str">
        <f t="shared" si="2"/>
        <v>Victoire Bourdon</v>
      </c>
      <c r="P113" s="18">
        <v>5</v>
      </c>
    </row>
    <row r="114" spans="1:16" x14ac:dyDescent="0.45">
      <c r="A114" s="37">
        <v>113</v>
      </c>
      <c r="B114" s="37" t="s">
        <v>1359</v>
      </c>
      <c r="C114" s="37" t="s">
        <v>1360</v>
      </c>
      <c r="D114" s="12" t="s">
        <v>622</v>
      </c>
      <c r="E114" s="12" t="s">
        <v>623</v>
      </c>
      <c r="F114" s="12">
        <v>1</v>
      </c>
      <c r="G114" s="12">
        <v>0</v>
      </c>
      <c r="H114" s="12">
        <v>18</v>
      </c>
      <c r="I114" s="12">
        <v>0</v>
      </c>
      <c r="J114" s="12" t="s">
        <v>43</v>
      </c>
      <c r="K114" s="28" t="s">
        <v>478</v>
      </c>
      <c r="N114" t="e">
        <v>#REF!</v>
      </c>
      <c r="O114" t="str">
        <f t="shared" si="2"/>
        <v>Frédéric Carre</v>
      </c>
      <c r="P114" s="18">
        <v>7</v>
      </c>
    </row>
    <row r="115" spans="1:16" x14ac:dyDescent="0.45">
      <c r="A115" s="37">
        <v>114</v>
      </c>
      <c r="B115" s="37" t="s">
        <v>1323</v>
      </c>
      <c r="C115" s="37" t="s">
        <v>1361</v>
      </c>
      <c r="D115" s="12" t="s">
        <v>624</v>
      </c>
      <c r="E115" s="12" t="s">
        <v>625</v>
      </c>
      <c r="F115" s="12">
        <v>1</v>
      </c>
      <c r="G115" s="12">
        <v>0</v>
      </c>
      <c r="H115" s="12">
        <v>27</v>
      </c>
      <c r="I115" s="12">
        <v>0</v>
      </c>
      <c r="J115" s="12" t="s">
        <v>43</v>
      </c>
      <c r="K115" s="28" t="s">
        <v>487</v>
      </c>
      <c r="N115" t="e">
        <v>#REF!</v>
      </c>
      <c r="O115" t="str">
        <f t="shared" si="2"/>
        <v>Éric Marty</v>
      </c>
      <c r="P115" s="18">
        <v>2</v>
      </c>
    </row>
    <row r="116" spans="1:16" x14ac:dyDescent="0.45">
      <c r="A116" s="37">
        <v>115</v>
      </c>
      <c r="B116" s="37" t="s">
        <v>1362</v>
      </c>
      <c r="C116" s="37" t="s">
        <v>1352</v>
      </c>
      <c r="D116" s="12" t="s">
        <v>226</v>
      </c>
      <c r="E116" s="12" t="s">
        <v>227</v>
      </c>
      <c r="F116" s="12">
        <v>0</v>
      </c>
      <c r="G116" s="12">
        <v>1</v>
      </c>
      <c r="H116" s="12">
        <v>18</v>
      </c>
      <c r="I116" s="12">
        <v>0</v>
      </c>
      <c r="J116" s="12" t="s">
        <v>43</v>
      </c>
      <c r="K116" s="28">
        <v>1</v>
      </c>
      <c r="N116" t="e">
        <v>#REF!</v>
      </c>
      <c r="O116" t="str">
        <f t="shared" si="2"/>
        <v>Célina Mahe</v>
      </c>
      <c r="P116" s="18">
        <v>7</v>
      </c>
    </row>
    <row r="117" spans="1:16" x14ac:dyDescent="0.45">
      <c r="A117" s="37">
        <v>116</v>
      </c>
      <c r="B117" s="37" t="s">
        <v>1323</v>
      </c>
      <c r="C117" s="37" t="s">
        <v>319</v>
      </c>
      <c r="D117" s="12" t="s">
        <v>229</v>
      </c>
      <c r="E117" s="12" t="s">
        <v>230</v>
      </c>
      <c r="F117" s="12">
        <v>0</v>
      </c>
      <c r="G117" s="12">
        <v>1</v>
      </c>
      <c r="H117" s="12">
        <v>18</v>
      </c>
      <c r="I117" s="12">
        <v>0</v>
      </c>
      <c r="J117" s="12" t="s">
        <v>43</v>
      </c>
      <c r="K117" s="28">
        <v>1</v>
      </c>
      <c r="N117" t="e">
        <v>#REF!</v>
      </c>
      <c r="O117" t="str">
        <f t="shared" si="2"/>
        <v>Éric Thibault</v>
      </c>
      <c r="P117" s="18">
        <v>7</v>
      </c>
    </row>
    <row r="118" spans="1:16" x14ac:dyDescent="0.45">
      <c r="A118" s="37">
        <v>117</v>
      </c>
      <c r="B118" s="37" t="s">
        <v>1363</v>
      </c>
      <c r="C118" s="37" t="s">
        <v>1252</v>
      </c>
      <c r="D118" s="12" t="s">
        <v>626</v>
      </c>
      <c r="E118" s="12" t="s">
        <v>627</v>
      </c>
      <c r="F118" s="12">
        <v>1</v>
      </c>
      <c r="G118" s="12">
        <v>0</v>
      </c>
      <c r="H118" s="12">
        <v>33</v>
      </c>
      <c r="I118" s="12">
        <v>0</v>
      </c>
      <c r="J118" s="12" t="s">
        <v>43</v>
      </c>
      <c r="K118" s="28" t="s">
        <v>478</v>
      </c>
      <c r="N118" t="e">
        <v>#REF!</v>
      </c>
      <c r="O118" t="str">
        <f t="shared" si="2"/>
        <v>François Salmon</v>
      </c>
      <c r="P118" s="18">
        <v>8</v>
      </c>
    </row>
    <row r="119" spans="1:16" x14ac:dyDescent="0.45">
      <c r="A119" s="37">
        <v>118</v>
      </c>
      <c r="B119" s="37" t="s">
        <v>1364</v>
      </c>
      <c r="C119" s="37" t="s">
        <v>1314</v>
      </c>
      <c r="D119" s="12" t="s">
        <v>628</v>
      </c>
      <c r="E119" s="12" t="s">
        <v>43</v>
      </c>
      <c r="F119" s="12">
        <v>1</v>
      </c>
      <c r="G119" s="12">
        <v>0</v>
      </c>
      <c r="H119" s="12">
        <v>12</v>
      </c>
      <c r="I119" s="12">
        <v>0</v>
      </c>
      <c r="J119" s="12" t="s">
        <v>43</v>
      </c>
      <c r="K119" s="28" t="s">
        <v>478</v>
      </c>
      <c r="N119" t="e">
        <v>#REF!</v>
      </c>
      <c r="O119" t="str">
        <f t="shared" si="2"/>
        <v>Alexandrie Léger</v>
      </c>
      <c r="P119" s="18">
        <v>1</v>
      </c>
    </row>
    <row r="120" spans="1:16" x14ac:dyDescent="0.45">
      <c r="A120" s="37">
        <v>119</v>
      </c>
      <c r="B120" s="37" t="s">
        <v>246</v>
      </c>
      <c r="C120" s="37" t="s">
        <v>1365</v>
      </c>
      <c r="D120" s="12" t="s">
        <v>231</v>
      </c>
      <c r="E120" s="12" t="s">
        <v>232</v>
      </c>
      <c r="F120" s="12">
        <v>0</v>
      </c>
      <c r="G120" s="12">
        <v>1</v>
      </c>
      <c r="H120" s="12">
        <v>36</v>
      </c>
      <c r="I120" s="12">
        <v>0</v>
      </c>
      <c r="J120" s="12" t="s">
        <v>43</v>
      </c>
      <c r="K120" s="28">
        <v>1</v>
      </c>
      <c r="N120" t="e">
        <v>#REF!</v>
      </c>
      <c r="O120" t="str">
        <f t="shared" si="2"/>
        <v>Margot Guérin</v>
      </c>
      <c r="P120" s="18">
        <v>3</v>
      </c>
    </row>
    <row r="121" spans="1:16" x14ac:dyDescent="0.45">
      <c r="A121" s="37">
        <v>120</v>
      </c>
      <c r="B121" s="37" t="s">
        <v>1366</v>
      </c>
      <c r="C121" s="37" t="s">
        <v>1301</v>
      </c>
      <c r="D121" s="12" t="s">
        <v>629</v>
      </c>
      <c r="E121" s="12" t="s">
        <v>630</v>
      </c>
      <c r="F121" s="12">
        <v>1</v>
      </c>
      <c r="G121" s="12">
        <v>0</v>
      </c>
      <c r="H121" s="12">
        <v>40</v>
      </c>
      <c r="I121" s="12">
        <v>0</v>
      </c>
      <c r="J121" s="12" t="s">
        <v>43</v>
      </c>
      <c r="K121" s="28" t="s">
        <v>478</v>
      </c>
      <c r="L121" s="9">
        <v>9</v>
      </c>
      <c r="N121" t="e">
        <v>#REF!</v>
      </c>
      <c r="O121" t="str">
        <f t="shared" si="2"/>
        <v>Bernard Muller</v>
      </c>
      <c r="P121" s="18">
        <v>9</v>
      </c>
    </row>
    <row r="122" spans="1:16" x14ac:dyDescent="0.45">
      <c r="A122" s="37">
        <v>121</v>
      </c>
      <c r="B122" s="37" t="s">
        <v>1367</v>
      </c>
      <c r="C122" s="37" t="s">
        <v>1313</v>
      </c>
      <c r="D122" s="12" t="s">
        <v>631</v>
      </c>
      <c r="E122" s="12" t="s">
        <v>632</v>
      </c>
      <c r="F122" s="12">
        <v>1</v>
      </c>
      <c r="G122" s="12">
        <v>0</v>
      </c>
      <c r="H122" s="12">
        <v>8</v>
      </c>
      <c r="I122" s="12">
        <v>0</v>
      </c>
      <c r="J122" s="12" t="s">
        <v>43</v>
      </c>
      <c r="K122" s="28" t="s">
        <v>478</v>
      </c>
      <c r="N122" t="e">
        <v>#REF!</v>
      </c>
      <c r="O122" t="str">
        <f t="shared" si="2"/>
        <v>Agnès Chartier</v>
      </c>
      <c r="P122" s="18">
        <v>8</v>
      </c>
    </row>
    <row r="123" spans="1:16" x14ac:dyDescent="0.45">
      <c r="A123" s="37">
        <v>122</v>
      </c>
      <c r="B123" s="37" t="s">
        <v>1294</v>
      </c>
      <c r="C123" s="37" t="s">
        <v>1368</v>
      </c>
      <c r="D123" s="12" t="s">
        <v>633</v>
      </c>
      <c r="E123" s="12" t="s">
        <v>634</v>
      </c>
      <c r="F123" s="12">
        <v>1</v>
      </c>
      <c r="G123" s="12">
        <v>0</v>
      </c>
      <c r="H123" s="12">
        <v>10</v>
      </c>
      <c r="I123" s="12">
        <v>0</v>
      </c>
      <c r="J123" s="12" t="s">
        <v>43</v>
      </c>
      <c r="K123" s="28" t="s">
        <v>478</v>
      </c>
      <c r="N123" t="e">
        <v>#REF!</v>
      </c>
      <c r="O123" t="str">
        <f t="shared" si="2"/>
        <v>Madeleine Lemaître</v>
      </c>
      <c r="P123" s="18">
        <v>2</v>
      </c>
    </row>
    <row r="124" spans="1:16" x14ac:dyDescent="0.45">
      <c r="A124" s="37">
        <v>123</v>
      </c>
      <c r="B124" s="37" t="s">
        <v>1316</v>
      </c>
      <c r="C124" s="37" t="s">
        <v>1369</v>
      </c>
      <c r="D124" s="12" t="s">
        <v>635</v>
      </c>
      <c r="E124" s="12" t="s">
        <v>636</v>
      </c>
      <c r="F124" s="12">
        <v>1</v>
      </c>
      <c r="G124" s="12">
        <v>0</v>
      </c>
      <c r="H124" s="12">
        <v>17</v>
      </c>
      <c r="I124" s="12">
        <v>0</v>
      </c>
      <c r="J124" s="12" t="s">
        <v>43</v>
      </c>
      <c r="K124" s="28" t="s">
        <v>478</v>
      </c>
      <c r="N124" t="e">
        <v>#REF!</v>
      </c>
      <c r="O124" t="str">
        <f t="shared" si="2"/>
        <v>Adélaïde Dijoux</v>
      </c>
      <c r="P124" s="18">
        <v>3</v>
      </c>
    </row>
    <row r="125" spans="1:16" x14ac:dyDescent="0.45">
      <c r="A125" s="37">
        <v>124</v>
      </c>
      <c r="B125" s="37" t="s">
        <v>820</v>
      </c>
      <c r="C125" s="37" t="s">
        <v>1370</v>
      </c>
      <c r="D125" s="12" t="s">
        <v>637</v>
      </c>
      <c r="E125" s="12" t="s">
        <v>638</v>
      </c>
      <c r="F125" s="12">
        <v>0</v>
      </c>
      <c r="G125" s="12">
        <v>0</v>
      </c>
      <c r="H125" s="12"/>
      <c r="I125" s="12">
        <v>0</v>
      </c>
      <c r="J125" s="12" t="s">
        <v>43</v>
      </c>
      <c r="K125" s="28">
        <v>1</v>
      </c>
      <c r="L125" s="9">
        <v>1</v>
      </c>
      <c r="N125" t="e">
        <v>#REF!</v>
      </c>
      <c r="O125" t="str">
        <f t="shared" si="2"/>
        <v>Luc Delahaye</v>
      </c>
      <c r="P125" s="18">
        <v>1</v>
      </c>
    </row>
    <row r="126" spans="1:16" x14ac:dyDescent="0.45">
      <c r="A126" s="37">
        <v>125</v>
      </c>
      <c r="B126" s="37" t="s">
        <v>1371</v>
      </c>
      <c r="C126" s="37" t="s">
        <v>1372</v>
      </c>
      <c r="D126" s="12" t="s">
        <v>83</v>
      </c>
      <c r="E126" s="12" t="s">
        <v>84</v>
      </c>
      <c r="F126" s="12">
        <v>0</v>
      </c>
      <c r="G126" s="12">
        <v>0</v>
      </c>
      <c r="H126" s="12"/>
      <c r="I126" s="12">
        <v>1</v>
      </c>
      <c r="J126" s="12" t="s">
        <v>79</v>
      </c>
      <c r="K126" s="28">
        <v>1</v>
      </c>
      <c r="L126" s="9">
        <v>1</v>
      </c>
      <c r="N126" t="e">
        <v>#REF!</v>
      </c>
      <c r="O126" t="str">
        <f t="shared" si="2"/>
        <v>Jean Gomes</v>
      </c>
      <c r="P126" s="18">
        <v>1</v>
      </c>
    </row>
    <row r="127" spans="1:16" x14ac:dyDescent="0.45">
      <c r="A127" s="37">
        <v>126</v>
      </c>
      <c r="B127" s="37" t="s">
        <v>1373</v>
      </c>
      <c r="C127" s="37" t="s">
        <v>1374</v>
      </c>
      <c r="D127" s="12" t="s">
        <v>639</v>
      </c>
      <c r="E127" s="12" t="s">
        <v>640</v>
      </c>
      <c r="F127" s="12">
        <v>1</v>
      </c>
      <c r="G127" s="12">
        <v>0</v>
      </c>
      <c r="H127" s="12">
        <v>11</v>
      </c>
      <c r="I127" s="12">
        <v>0</v>
      </c>
      <c r="J127" s="12" t="s">
        <v>43</v>
      </c>
      <c r="K127" s="28" t="s">
        <v>487</v>
      </c>
      <c r="N127" t="e">
        <v>#REF!</v>
      </c>
      <c r="O127" t="str">
        <f t="shared" si="2"/>
        <v>Alexandria Rey</v>
      </c>
      <c r="P127" s="18">
        <v>4</v>
      </c>
    </row>
    <row r="128" spans="1:16" x14ac:dyDescent="0.45">
      <c r="A128" s="37">
        <v>127</v>
      </c>
      <c r="B128" s="37" t="s">
        <v>1375</v>
      </c>
      <c r="C128" s="37" t="s">
        <v>1376</v>
      </c>
      <c r="D128" s="12" t="s">
        <v>234</v>
      </c>
      <c r="E128" s="12" t="s">
        <v>235</v>
      </c>
      <c r="F128" s="12">
        <v>0</v>
      </c>
      <c r="G128" s="12">
        <v>1</v>
      </c>
      <c r="H128" s="12">
        <v>14</v>
      </c>
      <c r="I128" s="12">
        <v>0</v>
      </c>
      <c r="J128" s="12" t="s">
        <v>43</v>
      </c>
      <c r="K128" s="28">
        <v>1</v>
      </c>
      <c r="N128" t="e">
        <v>#REF!</v>
      </c>
      <c r="O128" t="str">
        <f t="shared" si="2"/>
        <v>Honoré Munoz</v>
      </c>
      <c r="P128" s="18">
        <v>7</v>
      </c>
    </row>
    <row r="129" spans="1:16" x14ac:dyDescent="0.45">
      <c r="A129" s="37">
        <v>128</v>
      </c>
      <c r="B129" s="37" t="s">
        <v>1377</v>
      </c>
      <c r="C129" s="37" t="s">
        <v>1378</v>
      </c>
      <c r="D129" s="12" t="s">
        <v>236</v>
      </c>
      <c r="E129" s="12" t="s">
        <v>237</v>
      </c>
      <c r="F129" s="12">
        <v>0</v>
      </c>
      <c r="G129" s="12">
        <v>1</v>
      </c>
      <c r="H129" s="12">
        <v>25</v>
      </c>
      <c r="I129" s="12">
        <v>0</v>
      </c>
      <c r="J129" s="12" t="s">
        <v>43</v>
      </c>
      <c r="K129" s="28">
        <v>1</v>
      </c>
      <c r="N129" t="e">
        <v>#REF!</v>
      </c>
      <c r="O129" t="str">
        <f t="shared" si="2"/>
        <v>Auguste Dupré</v>
      </c>
      <c r="P129" s="18">
        <v>2</v>
      </c>
    </row>
    <row r="130" spans="1:16" x14ac:dyDescent="0.45">
      <c r="A130" s="37">
        <v>129</v>
      </c>
      <c r="B130" s="37" t="s">
        <v>1379</v>
      </c>
      <c r="C130" s="37" t="s">
        <v>1380</v>
      </c>
      <c r="D130" s="12" t="s">
        <v>238</v>
      </c>
      <c r="E130" s="12" t="s">
        <v>239</v>
      </c>
      <c r="F130" s="12">
        <v>0</v>
      </c>
      <c r="G130" s="12">
        <v>1</v>
      </c>
      <c r="H130" s="12">
        <v>20</v>
      </c>
      <c r="I130" s="12">
        <v>0</v>
      </c>
      <c r="J130" s="12" t="s">
        <v>43</v>
      </c>
      <c r="K130" s="28">
        <v>1</v>
      </c>
      <c r="N130" t="e">
        <v>#REF!</v>
      </c>
      <c r="O130" t="str">
        <f t="shared" si="2"/>
        <v>Stéphanie Lacroix</v>
      </c>
      <c r="P130" s="18">
        <v>8</v>
      </c>
    </row>
    <row r="131" spans="1:16" x14ac:dyDescent="0.45">
      <c r="A131" s="37">
        <v>130</v>
      </c>
      <c r="B131" s="37" t="s">
        <v>1381</v>
      </c>
      <c r="C131" s="37" t="s">
        <v>1382</v>
      </c>
      <c r="D131" s="12" t="s">
        <v>641</v>
      </c>
      <c r="E131" s="12" t="s">
        <v>642</v>
      </c>
      <c r="F131" s="12">
        <v>1</v>
      </c>
      <c r="G131" s="12">
        <v>0</v>
      </c>
      <c r="H131" s="12">
        <v>43</v>
      </c>
      <c r="I131" s="12">
        <v>0</v>
      </c>
      <c r="J131" s="12" t="s">
        <v>43</v>
      </c>
      <c r="K131" s="28" t="s">
        <v>478</v>
      </c>
      <c r="L131" s="9">
        <v>9</v>
      </c>
      <c r="N131" t="e">
        <v>#REF!</v>
      </c>
      <c r="O131" t="str">
        <f t="shared" si="2"/>
        <v>Nath Leconte</v>
      </c>
      <c r="P131" s="18">
        <v>9</v>
      </c>
    </row>
    <row r="132" spans="1:16" x14ac:dyDescent="0.45">
      <c r="A132" s="37">
        <v>131</v>
      </c>
      <c r="B132" s="37" t="s">
        <v>1383</v>
      </c>
      <c r="C132" s="37" t="s">
        <v>1384</v>
      </c>
      <c r="D132" s="12" t="s">
        <v>643</v>
      </c>
      <c r="E132" s="12" t="s">
        <v>644</v>
      </c>
      <c r="F132" s="12">
        <v>1</v>
      </c>
      <c r="G132" s="12">
        <v>0</v>
      </c>
      <c r="H132" s="12">
        <v>31</v>
      </c>
      <c r="I132" s="12">
        <v>0</v>
      </c>
      <c r="J132" s="12" t="s">
        <v>43</v>
      </c>
      <c r="K132" s="28" t="s">
        <v>478</v>
      </c>
      <c r="N132" t="e">
        <v>#REF!</v>
      </c>
      <c r="O132" t="str">
        <f t="shared" si="2"/>
        <v>Laetitia Hoarau</v>
      </c>
      <c r="P132" s="18">
        <v>6</v>
      </c>
    </row>
    <row r="133" spans="1:16" x14ac:dyDescent="0.45">
      <c r="A133" s="37">
        <v>132</v>
      </c>
      <c r="B133" s="37" t="s">
        <v>381</v>
      </c>
      <c r="C133" s="37" t="s">
        <v>1228</v>
      </c>
      <c r="D133" s="12" t="s">
        <v>645</v>
      </c>
      <c r="E133" s="12" t="s">
        <v>646</v>
      </c>
      <c r="F133" s="12">
        <v>1</v>
      </c>
      <c r="G133" s="12">
        <v>0</v>
      </c>
      <c r="H133" s="12">
        <v>43</v>
      </c>
      <c r="I133" s="12">
        <v>0</v>
      </c>
      <c r="J133" s="12" t="s">
        <v>43</v>
      </c>
      <c r="K133" s="28" t="s">
        <v>478</v>
      </c>
      <c r="L133" s="9">
        <v>9</v>
      </c>
      <c r="N133" t="e">
        <v>#REF!</v>
      </c>
      <c r="O133" t="str">
        <f t="shared" si="2"/>
        <v>Diane Thierry</v>
      </c>
      <c r="P133" s="18">
        <v>9</v>
      </c>
    </row>
    <row r="134" spans="1:16" x14ac:dyDescent="0.45">
      <c r="A134" s="37">
        <v>133</v>
      </c>
      <c r="B134" s="37" t="s">
        <v>1326</v>
      </c>
      <c r="C134" s="37" t="s">
        <v>1245</v>
      </c>
      <c r="D134" s="12" t="s">
        <v>240</v>
      </c>
      <c r="E134" s="12" t="s">
        <v>241</v>
      </c>
      <c r="F134" s="12">
        <v>0</v>
      </c>
      <c r="G134" s="12">
        <v>1</v>
      </c>
      <c r="H134" s="12">
        <v>21</v>
      </c>
      <c r="I134" s="12">
        <v>0</v>
      </c>
      <c r="J134" s="12" t="s">
        <v>43</v>
      </c>
      <c r="K134" s="28">
        <v>1</v>
      </c>
      <c r="N134" t="e">
        <v>#REF!</v>
      </c>
      <c r="O134" t="str">
        <f t="shared" si="2"/>
        <v>David Gimenez</v>
      </c>
      <c r="P134" s="18">
        <v>3</v>
      </c>
    </row>
    <row r="135" spans="1:16" x14ac:dyDescent="0.45">
      <c r="A135" s="37">
        <v>134</v>
      </c>
      <c r="B135" s="37" t="s">
        <v>1306</v>
      </c>
      <c r="C135" s="37" t="s">
        <v>1356</v>
      </c>
      <c r="D135" s="12" t="s">
        <v>242</v>
      </c>
      <c r="E135" s="12" t="s">
        <v>243</v>
      </c>
      <c r="F135" s="12">
        <v>0</v>
      </c>
      <c r="G135" s="12">
        <v>1</v>
      </c>
      <c r="H135" s="12">
        <v>14</v>
      </c>
      <c r="I135" s="12">
        <v>0</v>
      </c>
      <c r="J135" s="12" t="s">
        <v>43</v>
      </c>
      <c r="K135" s="28">
        <v>1</v>
      </c>
      <c r="N135" t="e">
        <v>#REF!</v>
      </c>
      <c r="O135" t="str">
        <f t="shared" si="2"/>
        <v>Michèle Gérard</v>
      </c>
      <c r="P135" s="18">
        <v>7</v>
      </c>
    </row>
    <row r="136" spans="1:16" x14ac:dyDescent="0.45">
      <c r="A136" s="37">
        <v>135</v>
      </c>
      <c r="B136" s="37" t="s">
        <v>1136</v>
      </c>
      <c r="C136" s="37" t="s">
        <v>1385</v>
      </c>
      <c r="D136" s="12" t="s">
        <v>648</v>
      </c>
      <c r="E136" s="12" t="s">
        <v>649</v>
      </c>
      <c r="F136" s="12">
        <v>1</v>
      </c>
      <c r="G136" s="12">
        <v>0</v>
      </c>
      <c r="H136" s="12">
        <v>11</v>
      </c>
      <c r="I136" s="12">
        <v>0</v>
      </c>
      <c r="J136" s="12" t="s">
        <v>43</v>
      </c>
      <c r="K136" s="28" t="s">
        <v>478</v>
      </c>
      <c r="N136" t="e">
        <v>#REF!</v>
      </c>
      <c r="O136" t="str">
        <f t="shared" si="2"/>
        <v>Caroline Diaz</v>
      </c>
      <c r="P136" s="18">
        <v>4</v>
      </c>
    </row>
    <row r="137" spans="1:16" x14ac:dyDescent="0.45">
      <c r="A137" s="37">
        <v>136</v>
      </c>
      <c r="B137" s="37" t="s">
        <v>1383</v>
      </c>
      <c r="C137" s="37" t="s">
        <v>767</v>
      </c>
      <c r="D137" s="12" t="s">
        <v>650</v>
      </c>
      <c r="E137" s="12" t="s">
        <v>43</v>
      </c>
      <c r="F137" s="12">
        <v>1</v>
      </c>
      <c r="G137" s="12">
        <v>0</v>
      </c>
      <c r="H137" s="12">
        <v>28</v>
      </c>
      <c r="I137" s="12">
        <v>0</v>
      </c>
      <c r="J137" s="12" t="s">
        <v>43</v>
      </c>
      <c r="K137" s="28" t="s">
        <v>487</v>
      </c>
      <c r="N137" t="e">
        <v>#REF!</v>
      </c>
      <c r="O137" t="str">
        <f t="shared" si="2"/>
        <v>Laetitia Adam</v>
      </c>
      <c r="P137" s="18">
        <v>7</v>
      </c>
    </row>
    <row r="138" spans="1:16" x14ac:dyDescent="0.45">
      <c r="A138" s="37">
        <v>137</v>
      </c>
      <c r="B138" s="37" t="s">
        <v>1386</v>
      </c>
      <c r="C138" s="37" t="s">
        <v>1387</v>
      </c>
      <c r="D138" s="12" t="s">
        <v>244</v>
      </c>
      <c r="E138" s="12" t="s">
        <v>245</v>
      </c>
      <c r="F138" s="12">
        <v>0</v>
      </c>
      <c r="G138" s="12">
        <v>1</v>
      </c>
      <c r="H138" s="12">
        <v>13</v>
      </c>
      <c r="I138" s="12">
        <v>0</v>
      </c>
      <c r="J138" s="12" t="s">
        <v>43</v>
      </c>
      <c r="K138" s="28">
        <v>1</v>
      </c>
      <c r="N138" t="e">
        <v>#REF!</v>
      </c>
      <c r="O138" t="str">
        <f t="shared" si="2"/>
        <v>Marine Le Roux</v>
      </c>
      <c r="P138" s="18">
        <v>4</v>
      </c>
    </row>
    <row r="139" spans="1:16" x14ac:dyDescent="0.45">
      <c r="A139" s="37">
        <v>138</v>
      </c>
      <c r="B139" s="37" t="s">
        <v>1388</v>
      </c>
      <c r="C139" s="37" t="s">
        <v>1389</v>
      </c>
      <c r="D139" s="12" t="s">
        <v>247</v>
      </c>
      <c r="E139" s="12" t="s">
        <v>248</v>
      </c>
      <c r="F139" s="12">
        <v>0</v>
      </c>
      <c r="G139" s="12">
        <v>1</v>
      </c>
      <c r="H139" s="12">
        <v>25</v>
      </c>
      <c r="I139" s="12">
        <v>0</v>
      </c>
      <c r="J139" s="12" t="s">
        <v>43</v>
      </c>
      <c r="K139" s="28">
        <v>1</v>
      </c>
      <c r="N139" t="e">
        <v>#REF!</v>
      </c>
      <c r="O139" t="str">
        <f t="shared" si="2"/>
        <v>Colette Lenoir</v>
      </c>
      <c r="P139" s="18">
        <v>2</v>
      </c>
    </row>
    <row r="140" spans="1:16" x14ac:dyDescent="0.45">
      <c r="A140" s="37">
        <v>139</v>
      </c>
      <c r="B140" s="37" t="s">
        <v>246</v>
      </c>
      <c r="C140" s="37" t="s">
        <v>1390</v>
      </c>
      <c r="D140" s="12" t="s">
        <v>249</v>
      </c>
      <c r="E140" s="12" t="s">
        <v>250</v>
      </c>
      <c r="F140" s="12">
        <v>0</v>
      </c>
      <c r="G140" s="12">
        <v>1</v>
      </c>
      <c r="H140" s="12">
        <v>37</v>
      </c>
      <c r="I140" s="12">
        <v>0</v>
      </c>
      <c r="J140" s="12" t="s">
        <v>43</v>
      </c>
      <c r="K140" s="28">
        <v>1</v>
      </c>
      <c r="N140" t="e">
        <v>#REF!</v>
      </c>
      <c r="O140" t="str">
        <f t="shared" si="2"/>
        <v>Margot Caron</v>
      </c>
      <c r="P140" s="18">
        <v>5</v>
      </c>
    </row>
    <row r="141" spans="1:16" x14ac:dyDescent="0.45">
      <c r="A141" s="37">
        <v>140</v>
      </c>
      <c r="B141" s="37" t="s">
        <v>1150</v>
      </c>
      <c r="C141" s="37" t="s">
        <v>1391</v>
      </c>
      <c r="D141" s="12" t="s">
        <v>651</v>
      </c>
      <c r="E141" s="12" t="s">
        <v>652</v>
      </c>
      <c r="F141" s="12">
        <v>1</v>
      </c>
      <c r="G141" s="12">
        <v>0</v>
      </c>
      <c r="H141" s="12">
        <v>14</v>
      </c>
      <c r="I141" s="12">
        <v>0</v>
      </c>
      <c r="J141" s="12" t="s">
        <v>43</v>
      </c>
      <c r="K141" s="28">
        <v>1</v>
      </c>
      <c r="N141" t="e">
        <v>#REF!</v>
      </c>
      <c r="O141" t="str">
        <f t="shared" si="2"/>
        <v>Théophile Colas</v>
      </c>
      <c r="P141" s="18">
        <v>7</v>
      </c>
    </row>
    <row r="142" spans="1:16" x14ac:dyDescent="0.45">
      <c r="A142" s="37">
        <v>141</v>
      </c>
      <c r="B142" s="37" t="s">
        <v>1241</v>
      </c>
      <c r="C142" s="37" t="s">
        <v>1392</v>
      </c>
      <c r="D142" s="12" t="s">
        <v>654</v>
      </c>
      <c r="E142" s="12" t="s">
        <v>655</v>
      </c>
      <c r="F142" s="12">
        <v>1</v>
      </c>
      <c r="G142" s="12">
        <v>0</v>
      </c>
      <c r="H142" s="12">
        <v>10</v>
      </c>
      <c r="I142" s="12">
        <v>0</v>
      </c>
      <c r="J142" s="12" t="s">
        <v>43</v>
      </c>
      <c r="K142" s="28" t="s">
        <v>487</v>
      </c>
      <c r="N142" t="e">
        <v>#REF!</v>
      </c>
      <c r="O142" t="str">
        <f t="shared" si="2"/>
        <v>Clémence Moreno</v>
      </c>
      <c r="P142" s="18">
        <v>2</v>
      </c>
    </row>
    <row r="143" spans="1:16" x14ac:dyDescent="0.45">
      <c r="A143" s="37">
        <v>142</v>
      </c>
      <c r="B143" s="37" t="s">
        <v>319</v>
      </c>
      <c r="C143" s="37" t="s">
        <v>1393</v>
      </c>
      <c r="D143" s="12" t="s">
        <v>656</v>
      </c>
      <c r="E143" s="12" t="s">
        <v>657</v>
      </c>
      <c r="F143" s="12">
        <v>1</v>
      </c>
      <c r="G143" s="12">
        <v>0</v>
      </c>
      <c r="H143" s="12">
        <v>29</v>
      </c>
      <c r="I143" s="12">
        <v>0</v>
      </c>
      <c r="J143" s="12" t="s">
        <v>43</v>
      </c>
      <c r="K143" s="28" t="s">
        <v>487</v>
      </c>
      <c r="N143" t="e">
        <v>#REF!</v>
      </c>
      <c r="O143" t="str">
        <f t="shared" si="2"/>
        <v>Thibault Joly</v>
      </c>
      <c r="P143" s="18">
        <v>5</v>
      </c>
    </row>
    <row r="144" spans="1:16" x14ac:dyDescent="0.45">
      <c r="A144" s="37">
        <v>143</v>
      </c>
      <c r="B144" s="37" t="s">
        <v>1324</v>
      </c>
      <c r="C144" s="37" t="s">
        <v>881</v>
      </c>
      <c r="D144" s="12" t="s">
        <v>251</v>
      </c>
      <c r="E144" s="12" t="s">
        <v>252</v>
      </c>
      <c r="F144" s="12">
        <v>0</v>
      </c>
      <c r="G144" s="12">
        <v>1</v>
      </c>
      <c r="H144" s="12">
        <v>38</v>
      </c>
      <c r="I144" s="12">
        <v>0</v>
      </c>
      <c r="J144" s="12" t="s">
        <v>43</v>
      </c>
      <c r="K144" s="28">
        <v>1</v>
      </c>
      <c r="N144" t="e">
        <v>#REF!</v>
      </c>
      <c r="O144" t="str">
        <f t="shared" si="2"/>
        <v>Michel Marie</v>
      </c>
      <c r="P144" s="18">
        <v>4</v>
      </c>
    </row>
    <row r="145" spans="1:16" x14ac:dyDescent="0.45">
      <c r="A145" s="37">
        <v>144</v>
      </c>
      <c r="B145" s="37" t="s">
        <v>431</v>
      </c>
      <c r="C145" s="37" t="s">
        <v>1394</v>
      </c>
      <c r="D145" s="12" t="s">
        <v>658</v>
      </c>
      <c r="E145" s="12" t="s">
        <v>659</v>
      </c>
      <c r="F145" s="12">
        <v>1</v>
      </c>
      <c r="G145" s="12">
        <v>0</v>
      </c>
      <c r="H145" s="12">
        <v>30</v>
      </c>
      <c r="I145" s="12">
        <v>0</v>
      </c>
      <c r="J145" s="12" t="s">
        <v>43</v>
      </c>
      <c r="K145" s="28" t="s">
        <v>478</v>
      </c>
      <c r="N145" t="e">
        <v>#REF!</v>
      </c>
      <c r="O145" t="str">
        <f t="shared" si="2"/>
        <v>Capucine Roussel</v>
      </c>
      <c r="P145" s="18">
        <v>8</v>
      </c>
    </row>
    <row r="146" spans="1:16" x14ac:dyDescent="0.45">
      <c r="A146" s="37">
        <v>145</v>
      </c>
      <c r="B146" s="37" t="s">
        <v>1288</v>
      </c>
      <c r="C146" s="37" t="s">
        <v>1395</v>
      </c>
      <c r="D146" s="12" t="s">
        <v>661</v>
      </c>
      <c r="E146" s="12" t="s">
        <v>662</v>
      </c>
      <c r="F146" s="12">
        <v>1</v>
      </c>
      <c r="G146" s="12">
        <v>0</v>
      </c>
      <c r="H146" s="12">
        <v>16</v>
      </c>
      <c r="I146" s="12">
        <v>0</v>
      </c>
      <c r="J146" s="12" t="s">
        <v>43</v>
      </c>
      <c r="K146" s="28" t="s">
        <v>478</v>
      </c>
      <c r="N146" t="e">
        <v>#REF!</v>
      </c>
      <c r="O146" t="str">
        <f t="shared" si="2"/>
        <v>Christiane Valette</v>
      </c>
      <c r="P146" s="18">
        <v>6</v>
      </c>
    </row>
    <row r="147" spans="1:16" x14ac:dyDescent="0.45">
      <c r="A147" s="37">
        <v>146</v>
      </c>
      <c r="B147" s="37" t="s">
        <v>1396</v>
      </c>
      <c r="C147" s="37" t="s">
        <v>1222</v>
      </c>
      <c r="D147" s="12" t="s">
        <v>663</v>
      </c>
      <c r="E147" s="12" t="s">
        <v>664</v>
      </c>
      <c r="F147" s="12">
        <v>1</v>
      </c>
      <c r="G147" s="12">
        <v>0</v>
      </c>
      <c r="H147" s="12">
        <v>14</v>
      </c>
      <c r="I147" s="12">
        <v>0</v>
      </c>
      <c r="J147" s="12" t="s">
        <v>43</v>
      </c>
      <c r="K147" s="28" t="s">
        <v>478</v>
      </c>
      <c r="N147" t="e">
        <v>#REF!</v>
      </c>
      <c r="O147" t="str">
        <f t="shared" si="2"/>
        <v>Olivie Bernier</v>
      </c>
      <c r="P147" s="18">
        <v>7</v>
      </c>
    </row>
    <row r="148" spans="1:16" x14ac:dyDescent="0.45">
      <c r="A148" s="37">
        <v>147</v>
      </c>
      <c r="B148" s="37" t="s">
        <v>1397</v>
      </c>
      <c r="C148" s="37" t="s">
        <v>1398</v>
      </c>
      <c r="D148" s="12" t="s">
        <v>665</v>
      </c>
      <c r="E148" s="12" t="s">
        <v>666</v>
      </c>
      <c r="F148" s="12">
        <v>1</v>
      </c>
      <c r="G148" s="12">
        <v>0</v>
      </c>
      <c r="H148" s="12">
        <v>7</v>
      </c>
      <c r="I148" s="12">
        <v>0</v>
      </c>
      <c r="J148" s="12" t="s">
        <v>43</v>
      </c>
      <c r="K148" s="28" t="s">
        <v>478</v>
      </c>
      <c r="N148" t="e">
        <v>#REF!</v>
      </c>
      <c r="O148" t="str">
        <f t="shared" si="2"/>
        <v>Eugène Rousseau</v>
      </c>
      <c r="P148" s="18">
        <v>1</v>
      </c>
    </row>
    <row r="149" spans="1:16" x14ac:dyDescent="0.45">
      <c r="A149" s="37">
        <v>148</v>
      </c>
      <c r="B149" s="37" t="s">
        <v>1399</v>
      </c>
      <c r="C149" s="37" t="s">
        <v>1400</v>
      </c>
      <c r="D149" s="12" t="s">
        <v>253</v>
      </c>
      <c r="E149" s="12" t="s">
        <v>254</v>
      </c>
      <c r="F149" s="12">
        <v>0</v>
      </c>
      <c r="G149" s="12">
        <v>1</v>
      </c>
      <c r="H149" s="12">
        <v>14</v>
      </c>
      <c r="I149" s="12">
        <v>0</v>
      </c>
      <c r="J149" s="12" t="s">
        <v>43</v>
      </c>
      <c r="K149" s="28">
        <v>1</v>
      </c>
      <c r="N149" t="e">
        <v>#REF!</v>
      </c>
      <c r="O149" t="str">
        <f t="shared" si="2"/>
        <v>Stéphane Morin</v>
      </c>
      <c r="P149" s="18">
        <v>7</v>
      </c>
    </row>
    <row r="150" spans="1:16" x14ac:dyDescent="0.45">
      <c r="A150" s="37">
        <v>149</v>
      </c>
      <c r="B150" s="37" t="s">
        <v>1343</v>
      </c>
      <c r="C150" s="37" t="s">
        <v>1401</v>
      </c>
      <c r="D150" s="12" t="s">
        <v>667</v>
      </c>
      <c r="E150" s="12" t="s">
        <v>668</v>
      </c>
      <c r="F150" s="12">
        <v>1</v>
      </c>
      <c r="G150" s="12">
        <v>0</v>
      </c>
      <c r="H150" s="12">
        <v>26</v>
      </c>
      <c r="I150" s="12">
        <v>0</v>
      </c>
      <c r="J150" s="12" t="s">
        <v>43</v>
      </c>
      <c r="K150" s="28" t="s">
        <v>487</v>
      </c>
      <c r="N150" t="e">
        <v>#REF!</v>
      </c>
      <c r="O150" t="str">
        <f t="shared" si="2"/>
        <v>Véronique Mallet</v>
      </c>
      <c r="P150" s="18">
        <v>4</v>
      </c>
    </row>
    <row r="151" spans="1:16" x14ac:dyDescent="0.45">
      <c r="A151" s="37">
        <v>150</v>
      </c>
      <c r="B151" s="37" t="s">
        <v>1402</v>
      </c>
      <c r="C151" s="37" t="s">
        <v>1403</v>
      </c>
      <c r="D151" s="12" t="s">
        <v>669</v>
      </c>
      <c r="E151" s="12" t="s">
        <v>670</v>
      </c>
      <c r="F151" s="12">
        <v>1</v>
      </c>
      <c r="G151" s="12">
        <v>0</v>
      </c>
      <c r="H151" s="12">
        <v>23</v>
      </c>
      <c r="I151" s="12">
        <v>0</v>
      </c>
      <c r="J151" s="12" t="s">
        <v>43</v>
      </c>
      <c r="K151" s="28" t="s">
        <v>478</v>
      </c>
      <c r="N151" t="e">
        <v>#REF!</v>
      </c>
      <c r="O151" t="str">
        <f t="shared" si="2"/>
        <v>Alain Fleury</v>
      </c>
      <c r="P151" s="18">
        <v>5</v>
      </c>
    </row>
    <row r="152" spans="1:16" x14ac:dyDescent="0.45">
      <c r="A152" s="37">
        <v>151</v>
      </c>
      <c r="B152" s="37" t="s">
        <v>1342</v>
      </c>
      <c r="C152" s="37" t="s">
        <v>1404</v>
      </c>
      <c r="D152" s="12" t="s">
        <v>672</v>
      </c>
      <c r="E152" s="12" t="s">
        <v>673</v>
      </c>
      <c r="F152" s="12">
        <v>1</v>
      </c>
      <c r="G152" s="12">
        <v>0</v>
      </c>
      <c r="H152" s="12">
        <v>26</v>
      </c>
      <c r="I152" s="12">
        <v>0</v>
      </c>
      <c r="J152" s="12" t="s">
        <v>43</v>
      </c>
      <c r="K152" s="28" t="s">
        <v>478</v>
      </c>
      <c r="N152" t="e">
        <v>#REF!</v>
      </c>
      <c r="O152" t="str">
        <f t="shared" si="2"/>
        <v>André Poirier</v>
      </c>
      <c r="P152" s="18">
        <v>4</v>
      </c>
    </row>
    <row r="153" spans="1:16" x14ac:dyDescent="0.45">
      <c r="A153" s="37">
        <v>152</v>
      </c>
      <c r="B153" s="37" t="s">
        <v>583</v>
      </c>
      <c r="C153" s="37" t="s">
        <v>1387</v>
      </c>
      <c r="D153" s="12" t="s">
        <v>674</v>
      </c>
      <c r="E153" s="12" t="s">
        <v>43</v>
      </c>
      <c r="F153" s="12">
        <v>1</v>
      </c>
      <c r="G153" s="12">
        <v>0</v>
      </c>
      <c r="H153" s="12">
        <v>30</v>
      </c>
      <c r="I153" s="12">
        <v>0</v>
      </c>
      <c r="J153" s="12" t="s">
        <v>43</v>
      </c>
      <c r="K153" s="28" t="s">
        <v>487</v>
      </c>
      <c r="N153" t="e">
        <v>#REF!</v>
      </c>
      <c r="O153" t="str">
        <f t="shared" si="2"/>
        <v>Pierre Le Roux</v>
      </c>
      <c r="P153" s="18">
        <v>8</v>
      </c>
    </row>
    <row r="154" spans="1:16" x14ac:dyDescent="0.45">
      <c r="A154" s="37">
        <v>153</v>
      </c>
      <c r="B154" s="37" t="s">
        <v>1318</v>
      </c>
      <c r="C154" s="37" t="s">
        <v>1363</v>
      </c>
      <c r="D154" s="12" t="s">
        <v>85</v>
      </c>
      <c r="E154" s="12" t="s">
        <v>86</v>
      </c>
      <c r="F154" s="12">
        <v>0</v>
      </c>
      <c r="G154" s="12">
        <v>0</v>
      </c>
      <c r="H154" s="12"/>
      <c r="I154" s="12">
        <v>1</v>
      </c>
      <c r="J154" s="12" t="s">
        <v>87</v>
      </c>
      <c r="K154" s="28">
        <v>1</v>
      </c>
      <c r="L154" s="9">
        <v>4</v>
      </c>
      <c r="N154" t="e">
        <v>#REF!</v>
      </c>
      <c r="O154" t="str">
        <f t="shared" si="2"/>
        <v>Marcelle François</v>
      </c>
      <c r="P154" s="18">
        <v>4</v>
      </c>
    </row>
    <row r="155" spans="1:16" x14ac:dyDescent="0.45">
      <c r="A155" s="37">
        <v>154</v>
      </c>
      <c r="B155" s="37" t="s">
        <v>59</v>
      </c>
      <c r="C155" s="37" t="s">
        <v>1242</v>
      </c>
      <c r="D155" s="12" t="s">
        <v>675</v>
      </c>
      <c r="E155" s="12" t="s">
        <v>676</v>
      </c>
      <c r="F155" s="12">
        <v>1</v>
      </c>
      <c r="G155" s="12">
        <v>0</v>
      </c>
      <c r="H155" s="12">
        <v>21</v>
      </c>
      <c r="I155" s="12">
        <v>0</v>
      </c>
      <c r="J155" s="12" t="s">
        <v>43</v>
      </c>
      <c r="K155" s="28" t="s">
        <v>478</v>
      </c>
      <c r="N155" t="e">
        <v>#REF!</v>
      </c>
      <c r="O155" t="str">
        <f t="shared" si="2"/>
        <v>Juliette Verdier</v>
      </c>
      <c r="P155" s="18">
        <v>3</v>
      </c>
    </row>
    <row r="156" spans="1:16" x14ac:dyDescent="0.45">
      <c r="A156" s="37">
        <v>155</v>
      </c>
      <c r="B156" s="37" t="s">
        <v>1375</v>
      </c>
      <c r="C156" s="37" t="s">
        <v>1405</v>
      </c>
      <c r="D156" s="12" t="s">
        <v>255</v>
      </c>
      <c r="E156" s="12" t="s">
        <v>256</v>
      </c>
      <c r="F156" s="12">
        <v>0</v>
      </c>
      <c r="G156" s="12">
        <v>1</v>
      </c>
      <c r="H156" s="12">
        <v>12</v>
      </c>
      <c r="I156" s="12">
        <v>0</v>
      </c>
      <c r="J156" s="12" t="s">
        <v>43</v>
      </c>
      <c r="K156" s="28">
        <v>1</v>
      </c>
      <c r="N156" t="e">
        <v>#REF!</v>
      </c>
      <c r="O156" t="str">
        <f t="shared" si="2"/>
        <v>Honoré Da Costa</v>
      </c>
      <c r="P156" s="18">
        <v>1</v>
      </c>
    </row>
    <row r="157" spans="1:16" x14ac:dyDescent="0.45">
      <c r="A157" s="37">
        <v>156</v>
      </c>
      <c r="B157" s="37" t="s">
        <v>1356</v>
      </c>
      <c r="C157" s="37" t="s">
        <v>376</v>
      </c>
      <c r="D157" s="12" t="s">
        <v>677</v>
      </c>
      <c r="E157" s="12" t="s">
        <v>678</v>
      </c>
      <c r="F157" s="12">
        <v>1</v>
      </c>
      <c r="G157" s="12">
        <v>0</v>
      </c>
      <c r="H157" s="12">
        <v>21</v>
      </c>
      <c r="I157" s="12">
        <v>0</v>
      </c>
      <c r="J157" s="12" t="s">
        <v>43</v>
      </c>
      <c r="K157" s="28" t="s">
        <v>487</v>
      </c>
      <c r="N157" t="e">
        <v>#REF!</v>
      </c>
      <c r="O157" t="str">
        <f t="shared" si="2"/>
        <v>Gérard Simon</v>
      </c>
      <c r="P157" s="18">
        <v>3</v>
      </c>
    </row>
    <row r="158" spans="1:16" x14ac:dyDescent="0.45">
      <c r="A158" s="37">
        <v>157</v>
      </c>
      <c r="B158" s="37" t="s">
        <v>1406</v>
      </c>
      <c r="C158" s="37" t="s">
        <v>1407</v>
      </c>
      <c r="D158" s="12" t="s">
        <v>680</v>
      </c>
      <c r="E158" s="12" t="s">
        <v>681</v>
      </c>
      <c r="F158" s="12">
        <v>1</v>
      </c>
      <c r="G158" s="12">
        <v>0</v>
      </c>
      <c r="H158" s="12">
        <v>6</v>
      </c>
      <c r="I158" s="12">
        <v>0</v>
      </c>
      <c r="J158" s="12" t="s">
        <v>43</v>
      </c>
      <c r="K158" s="28" t="s">
        <v>478</v>
      </c>
      <c r="N158" t="e">
        <v>#REF!</v>
      </c>
      <c r="O158" t="str">
        <f t="shared" si="2"/>
        <v>Christelle Schmitt</v>
      </c>
      <c r="P158" s="18">
        <v>9</v>
      </c>
    </row>
    <row r="159" spans="1:16" x14ac:dyDescent="0.45">
      <c r="A159" s="37">
        <v>158</v>
      </c>
      <c r="B159" s="37" t="s">
        <v>1408</v>
      </c>
      <c r="C159" s="37" t="s">
        <v>1409</v>
      </c>
      <c r="D159" s="12" t="s">
        <v>258</v>
      </c>
      <c r="E159" s="12" t="s">
        <v>259</v>
      </c>
      <c r="F159" s="12">
        <v>0</v>
      </c>
      <c r="G159" s="12">
        <v>1</v>
      </c>
      <c r="H159" s="12">
        <v>21</v>
      </c>
      <c r="I159" s="12">
        <v>0</v>
      </c>
      <c r="J159" s="12" t="s">
        <v>43</v>
      </c>
      <c r="K159" s="28">
        <v>1</v>
      </c>
      <c r="N159" t="e">
        <v>#REF!</v>
      </c>
      <c r="O159" t="str">
        <f t="shared" si="2"/>
        <v>Pénélope Chauvin</v>
      </c>
      <c r="P159" s="18">
        <v>3</v>
      </c>
    </row>
    <row r="160" spans="1:16" x14ac:dyDescent="0.45">
      <c r="A160" s="37">
        <v>159</v>
      </c>
      <c r="B160" s="37" t="s">
        <v>1410</v>
      </c>
      <c r="C160" s="37" t="s">
        <v>1238</v>
      </c>
      <c r="D160" s="12" t="s">
        <v>683</v>
      </c>
      <c r="E160" s="12" t="s">
        <v>684</v>
      </c>
      <c r="F160" s="12">
        <v>1</v>
      </c>
      <c r="G160" s="12">
        <v>0</v>
      </c>
      <c r="H160" s="12">
        <v>24</v>
      </c>
      <c r="I160" s="12">
        <v>0</v>
      </c>
      <c r="J160" s="12" t="s">
        <v>43</v>
      </c>
      <c r="K160" s="28" t="s">
        <v>487</v>
      </c>
      <c r="N160" t="e">
        <v>#REF!</v>
      </c>
      <c r="O160" t="str">
        <f t="shared" si="2"/>
        <v>Théodore Wagner</v>
      </c>
      <c r="P160" s="18">
        <v>6</v>
      </c>
    </row>
    <row r="161" spans="1:16" x14ac:dyDescent="0.45">
      <c r="A161" s="37">
        <v>160</v>
      </c>
      <c r="B161" s="37" t="s">
        <v>1411</v>
      </c>
      <c r="C161" s="37" t="s">
        <v>1412</v>
      </c>
      <c r="D161" s="12" t="s">
        <v>260</v>
      </c>
      <c r="E161" s="12" t="s">
        <v>261</v>
      </c>
      <c r="F161" s="12">
        <v>0</v>
      </c>
      <c r="G161" s="12">
        <v>1</v>
      </c>
      <c r="H161" s="12">
        <v>8</v>
      </c>
      <c r="I161" s="12">
        <v>0</v>
      </c>
      <c r="J161" s="12" t="s">
        <v>43</v>
      </c>
      <c r="K161" s="28">
        <v>1</v>
      </c>
      <c r="N161" t="e">
        <v>#REF!</v>
      </c>
      <c r="O161" t="str">
        <f t="shared" si="2"/>
        <v>Léon Costa</v>
      </c>
      <c r="P161" s="18">
        <v>8</v>
      </c>
    </row>
    <row r="162" spans="1:16" x14ac:dyDescent="0.45">
      <c r="A162" s="37">
        <v>161</v>
      </c>
      <c r="B162" s="37" t="s">
        <v>292</v>
      </c>
      <c r="C162" s="37" t="s">
        <v>1251</v>
      </c>
      <c r="D162" s="12" t="s">
        <v>685</v>
      </c>
      <c r="E162" s="12" t="s">
        <v>43</v>
      </c>
      <c r="F162" s="12">
        <v>1</v>
      </c>
      <c r="G162" s="12">
        <v>0</v>
      </c>
      <c r="H162" s="12">
        <v>29</v>
      </c>
      <c r="I162" s="12">
        <v>0</v>
      </c>
      <c r="J162" s="12" t="s">
        <v>43</v>
      </c>
      <c r="K162" s="28" t="s">
        <v>487</v>
      </c>
      <c r="N162" t="e">
        <v>#REF!</v>
      </c>
      <c r="O162" t="str">
        <f t="shared" ref="O162:O225" si="3">_xlfn.CONCAT(B162, " ", C162)</f>
        <v>Charles Philippe</v>
      </c>
      <c r="P162" s="18">
        <v>5</v>
      </c>
    </row>
    <row r="163" spans="1:16" x14ac:dyDescent="0.45">
      <c r="A163" s="37">
        <v>162</v>
      </c>
      <c r="B163" s="37" t="s">
        <v>1277</v>
      </c>
      <c r="C163" s="37" t="s">
        <v>1231</v>
      </c>
      <c r="D163" s="12" t="s">
        <v>686</v>
      </c>
      <c r="E163" s="12" t="s">
        <v>687</v>
      </c>
      <c r="F163" s="12">
        <v>1</v>
      </c>
      <c r="G163" s="12">
        <v>0</v>
      </c>
      <c r="H163" s="12">
        <v>17</v>
      </c>
      <c r="I163" s="12">
        <v>0</v>
      </c>
      <c r="J163" s="12" t="s">
        <v>43</v>
      </c>
      <c r="K163" s="28" t="s">
        <v>478</v>
      </c>
      <c r="N163" t="e">
        <v>#REF!</v>
      </c>
      <c r="O163" t="str">
        <f t="shared" si="3"/>
        <v>Jacques Boucher</v>
      </c>
      <c r="P163" s="18">
        <v>3</v>
      </c>
    </row>
    <row r="164" spans="1:16" x14ac:dyDescent="0.45">
      <c r="A164" s="37">
        <v>163</v>
      </c>
      <c r="B164" s="37" t="s">
        <v>660</v>
      </c>
      <c r="C164" s="37" t="s">
        <v>1413</v>
      </c>
      <c r="D164" s="12" t="s">
        <v>688</v>
      </c>
      <c r="E164" s="12" t="s">
        <v>43</v>
      </c>
      <c r="F164" s="12">
        <v>1</v>
      </c>
      <c r="G164" s="12">
        <v>0</v>
      </c>
      <c r="H164" s="12">
        <v>19</v>
      </c>
      <c r="I164" s="12">
        <v>0</v>
      </c>
      <c r="J164" s="12" t="s">
        <v>43</v>
      </c>
      <c r="K164" s="28" t="s">
        <v>478</v>
      </c>
      <c r="N164" t="e">
        <v>#REF!</v>
      </c>
      <c r="O164" t="str">
        <f t="shared" si="3"/>
        <v>Océane Evrard</v>
      </c>
      <c r="P164" s="18">
        <v>3</v>
      </c>
    </row>
    <row r="165" spans="1:16" x14ac:dyDescent="0.45">
      <c r="A165" s="37">
        <v>164</v>
      </c>
      <c r="B165" s="37" t="s">
        <v>1414</v>
      </c>
      <c r="C165" s="37" t="s">
        <v>1282</v>
      </c>
      <c r="D165" s="12" t="s">
        <v>689</v>
      </c>
      <c r="E165" s="12" t="s">
        <v>690</v>
      </c>
      <c r="F165" s="12">
        <v>1</v>
      </c>
      <c r="G165" s="12">
        <v>0</v>
      </c>
      <c r="H165" s="12">
        <v>17</v>
      </c>
      <c r="I165" s="12">
        <v>0</v>
      </c>
      <c r="J165" s="12" t="s">
        <v>43</v>
      </c>
      <c r="K165" s="28" t="s">
        <v>487</v>
      </c>
      <c r="N165" t="e">
        <v>#REF!</v>
      </c>
      <c r="O165" t="str">
        <f t="shared" si="3"/>
        <v>Rémy Lecomte</v>
      </c>
      <c r="P165" s="18">
        <v>3</v>
      </c>
    </row>
    <row r="166" spans="1:16" x14ac:dyDescent="0.45">
      <c r="A166" s="37">
        <v>165</v>
      </c>
      <c r="B166" s="37" t="s">
        <v>547</v>
      </c>
      <c r="C166" s="37" t="s">
        <v>481</v>
      </c>
      <c r="D166" s="12" t="s">
        <v>691</v>
      </c>
      <c r="E166" s="12" t="s">
        <v>692</v>
      </c>
      <c r="F166" s="12">
        <v>1</v>
      </c>
      <c r="G166" s="12">
        <v>0</v>
      </c>
      <c r="H166" s="12">
        <v>7</v>
      </c>
      <c r="I166" s="12">
        <v>0</v>
      </c>
      <c r="J166" s="12" t="s">
        <v>43</v>
      </c>
      <c r="K166" s="28" t="s">
        <v>478</v>
      </c>
      <c r="N166" t="e">
        <v>#REF!</v>
      </c>
      <c r="O166" t="str">
        <f t="shared" si="3"/>
        <v>Benoît Clément</v>
      </c>
      <c r="P166" s="18">
        <v>1</v>
      </c>
    </row>
    <row r="167" spans="1:16" x14ac:dyDescent="0.45">
      <c r="A167" s="37">
        <v>166</v>
      </c>
      <c r="B167" s="37" t="s">
        <v>342</v>
      </c>
      <c r="C167" s="37" t="s">
        <v>1213</v>
      </c>
      <c r="D167" s="12" t="s">
        <v>693</v>
      </c>
      <c r="E167" s="12" t="s">
        <v>43</v>
      </c>
      <c r="F167" s="12">
        <v>1</v>
      </c>
      <c r="G167" s="12">
        <v>0</v>
      </c>
      <c r="H167" s="12">
        <v>12</v>
      </c>
      <c r="I167" s="12">
        <v>0</v>
      </c>
      <c r="J167" s="12" t="s">
        <v>43</v>
      </c>
      <c r="K167" s="28" t="s">
        <v>478</v>
      </c>
      <c r="N167" t="e">
        <v>#REF!</v>
      </c>
      <c r="O167" t="str">
        <f t="shared" si="3"/>
        <v>Hortense Maurice</v>
      </c>
      <c r="P167" s="18">
        <v>1</v>
      </c>
    </row>
    <row r="168" spans="1:16" x14ac:dyDescent="0.45">
      <c r="A168" s="37">
        <v>167</v>
      </c>
      <c r="B168" s="37" t="s">
        <v>1345</v>
      </c>
      <c r="C168" s="37" t="s">
        <v>1415</v>
      </c>
      <c r="D168" s="12" t="s">
        <v>263</v>
      </c>
      <c r="E168" s="12" t="s">
        <v>264</v>
      </c>
      <c r="F168" s="12">
        <v>0</v>
      </c>
      <c r="G168" s="12">
        <v>1</v>
      </c>
      <c r="H168" s="12">
        <v>9</v>
      </c>
      <c r="I168" s="12">
        <v>0</v>
      </c>
      <c r="J168" s="12" t="s">
        <v>43</v>
      </c>
      <c r="K168" s="28">
        <v>1</v>
      </c>
      <c r="N168" t="e">
        <v>#REF!</v>
      </c>
      <c r="O168" t="str">
        <f t="shared" si="3"/>
        <v>Astrid Hamel</v>
      </c>
      <c r="P168" s="18">
        <v>1</v>
      </c>
    </row>
    <row r="169" spans="1:16" x14ac:dyDescent="0.45">
      <c r="A169" s="37">
        <v>168</v>
      </c>
      <c r="B169" s="37" t="s">
        <v>1410</v>
      </c>
      <c r="C169" s="37" t="s">
        <v>1416</v>
      </c>
      <c r="D169" s="12" t="s">
        <v>694</v>
      </c>
      <c r="E169" s="12" t="s">
        <v>43</v>
      </c>
      <c r="F169" s="12">
        <v>1</v>
      </c>
      <c r="G169" s="12">
        <v>0</v>
      </c>
      <c r="H169" s="12">
        <v>27</v>
      </c>
      <c r="I169" s="12">
        <v>0</v>
      </c>
      <c r="J169" s="12" t="s">
        <v>43</v>
      </c>
      <c r="K169" s="28" t="s">
        <v>478</v>
      </c>
      <c r="N169" t="e">
        <v>#REF!</v>
      </c>
      <c r="O169" t="str">
        <f t="shared" si="3"/>
        <v>Théodore Coste</v>
      </c>
      <c r="P169" s="18">
        <v>2</v>
      </c>
    </row>
    <row r="170" spans="1:16" x14ac:dyDescent="0.45">
      <c r="A170" s="37">
        <v>169</v>
      </c>
      <c r="B170" s="37" t="s">
        <v>1411</v>
      </c>
      <c r="C170" s="37" t="s">
        <v>402</v>
      </c>
      <c r="D170" s="12" t="s">
        <v>265</v>
      </c>
      <c r="E170" s="12" t="s">
        <v>266</v>
      </c>
      <c r="F170" s="12">
        <v>0</v>
      </c>
      <c r="G170" s="12">
        <v>1</v>
      </c>
      <c r="H170" s="12">
        <v>38</v>
      </c>
      <c r="I170" s="12">
        <v>0</v>
      </c>
      <c r="J170" s="12" t="s">
        <v>43</v>
      </c>
      <c r="K170" s="28">
        <v>1</v>
      </c>
      <c r="N170" t="e">
        <v>#REF!</v>
      </c>
      <c r="O170" t="str">
        <f t="shared" si="3"/>
        <v>Léon Alexandre</v>
      </c>
      <c r="P170" s="18">
        <v>4</v>
      </c>
    </row>
    <row r="171" spans="1:16" x14ac:dyDescent="0.45">
      <c r="A171" s="37">
        <v>170</v>
      </c>
      <c r="B171" s="37" t="s">
        <v>522</v>
      </c>
      <c r="C171" s="37" t="s">
        <v>1417</v>
      </c>
      <c r="D171" s="12" t="s">
        <v>695</v>
      </c>
      <c r="E171" s="12" t="s">
        <v>696</v>
      </c>
      <c r="F171" s="12">
        <v>1</v>
      </c>
      <c r="G171" s="12">
        <v>0</v>
      </c>
      <c r="H171" s="12">
        <v>34</v>
      </c>
      <c r="I171" s="12">
        <v>0</v>
      </c>
      <c r="J171" s="12" t="s">
        <v>43</v>
      </c>
      <c r="K171" s="28" t="s">
        <v>478</v>
      </c>
      <c r="N171" t="e">
        <v>#REF!</v>
      </c>
      <c r="O171" t="str">
        <f t="shared" si="3"/>
        <v>Constance Rossi</v>
      </c>
      <c r="P171" s="18">
        <v>3</v>
      </c>
    </row>
    <row r="172" spans="1:16" x14ac:dyDescent="0.45">
      <c r="A172" s="37">
        <v>171</v>
      </c>
      <c r="B172" s="37" t="s">
        <v>466</v>
      </c>
      <c r="C172" s="37" t="s">
        <v>319</v>
      </c>
      <c r="D172" s="12" t="s">
        <v>697</v>
      </c>
      <c r="E172" s="12" t="s">
        <v>698</v>
      </c>
      <c r="F172" s="12">
        <v>1</v>
      </c>
      <c r="G172" s="12">
        <v>0</v>
      </c>
      <c r="H172" s="12">
        <v>28</v>
      </c>
      <c r="I172" s="12">
        <v>0</v>
      </c>
      <c r="J172" s="12" t="s">
        <v>43</v>
      </c>
      <c r="K172" s="28" t="s">
        <v>478</v>
      </c>
      <c r="N172" t="e">
        <v>#REF!</v>
      </c>
      <c r="O172" t="str">
        <f t="shared" si="3"/>
        <v>Thibaut Thibault</v>
      </c>
      <c r="P172" s="18">
        <v>7</v>
      </c>
    </row>
    <row r="173" spans="1:16" x14ac:dyDescent="0.45">
      <c r="A173" s="37">
        <v>172</v>
      </c>
      <c r="B173" s="37" t="s">
        <v>1418</v>
      </c>
      <c r="C173" s="37" t="s">
        <v>1419</v>
      </c>
      <c r="D173" s="12" t="s">
        <v>267</v>
      </c>
      <c r="E173" s="12" t="s">
        <v>268</v>
      </c>
      <c r="F173" s="12">
        <v>0</v>
      </c>
      <c r="G173" s="12">
        <v>1</v>
      </c>
      <c r="H173" s="12">
        <v>35</v>
      </c>
      <c r="I173" s="12">
        <v>0</v>
      </c>
      <c r="J173" s="12" t="s">
        <v>43</v>
      </c>
      <c r="K173" s="28">
        <v>1</v>
      </c>
      <c r="N173" t="e">
        <v>#REF!</v>
      </c>
      <c r="O173" t="str">
        <f t="shared" si="3"/>
        <v>Paulette Poulain</v>
      </c>
      <c r="P173" s="18">
        <v>9</v>
      </c>
    </row>
    <row r="174" spans="1:16" x14ac:dyDescent="0.45">
      <c r="A174" s="37">
        <v>173</v>
      </c>
      <c r="B174" s="37" t="s">
        <v>1420</v>
      </c>
      <c r="C174" s="37" t="s">
        <v>1421</v>
      </c>
      <c r="D174" s="12" t="s">
        <v>699</v>
      </c>
      <c r="E174" s="12" t="s">
        <v>700</v>
      </c>
      <c r="F174" s="12">
        <v>1</v>
      </c>
      <c r="G174" s="12">
        <v>0</v>
      </c>
      <c r="H174" s="12">
        <v>38</v>
      </c>
      <c r="I174" s="12">
        <v>0</v>
      </c>
      <c r="J174" s="12" t="s">
        <v>43</v>
      </c>
      <c r="K174" s="28" t="s">
        <v>478</v>
      </c>
      <c r="N174" t="e">
        <v>#REF!</v>
      </c>
      <c r="O174" t="str">
        <f t="shared" si="3"/>
        <v>Aurore Perez</v>
      </c>
      <c r="P174" s="18">
        <v>4</v>
      </c>
    </row>
    <row r="175" spans="1:16" x14ac:dyDescent="0.45">
      <c r="A175" s="37">
        <v>174</v>
      </c>
      <c r="B175" s="37" t="s">
        <v>257</v>
      </c>
      <c r="C175" s="37" t="s">
        <v>1422</v>
      </c>
      <c r="D175" s="12" t="s">
        <v>701</v>
      </c>
      <c r="E175" s="12" t="s">
        <v>702</v>
      </c>
      <c r="F175" s="12">
        <v>1</v>
      </c>
      <c r="G175" s="12">
        <v>0</v>
      </c>
      <c r="H175" s="12">
        <v>20</v>
      </c>
      <c r="I175" s="12">
        <v>0</v>
      </c>
      <c r="J175" s="12" t="s">
        <v>43</v>
      </c>
      <c r="K175" s="28" t="s">
        <v>487</v>
      </c>
      <c r="N175" t="e">
        <v>#REF!</v>
      </c>
      <c r="O175" t="str">
        <f t="shared" si="3"/>
        <v>Louis Bailly</v>
      </c>
      <c r="P175" s="18">
        <v>8</v>
      </c>
    </row>
    <row r="176" spans="1:16" x14ac:dyDescent="0.45">
      <c r="A176" s="37">
        <v>175</v>
      </c>
      <c r="B176" s="37" t="s">
        <v>1423</v>
      </c>
      <c r="C176" s="37" t="s">
        <v>1217</v>
      </c>
      <c r="D176" s="12" t="s">
        <v>703</v>
      </c>
      <c r="E176" s="12" t="s">
        <v>704</v>
      </c>
      <c r="F176" s="12">
        <v>1</v>
      </c>
      <c r="G176" s="12">
        <v>0</v>
      </c>
      <c r="H176" s="12">
        <v>37</v>
      </c>
      <c r="I176" s="12">
        <v>0</v>
      </c>
      <c r="J176" s="12" t="s">
        <v>43</v>
      </c>
      <c r="K176" s="28" t="s">
        <v>478</v>
      </c>
      <c r="N176" t="e">
        <v>#REF!</v>
      </c>
      <c r="O176" t="str">
        <f t="shared" si="3"/>
        <v>Brigitte Delattre</v>
      </c>
      <c r="P176" s="18">
        <v>5</v>
      </c>
    </row>
    <row r="177" spans="1:16" x14ac:dyDescent="0.45">
      <c r="A177" s="37">
        <v>176</v>
      </c>
      <c r="B177" s="37" t="s">
        <v>1290</v>
      </c>
      <c r="C177" s="37" t="s">
        <v>1424</v>
      </c>
      <c r="D177" s="12" t="s">
        <v>706</v>
      </c>
      <c r="E177" s="12" t="s">
        <v>707</v>
      </c>
      <c r="F177" s="12">
        <v>1</v>
      </c>
      <c r="G177" s="12">
        <v>0</v>
      </c>
      <c r="H177" s="12">
        <v>10</v>
      </c>
      <c r="I177" s="12">
        <v>0</v>
      </c>
      <c r="J177" s="12" t="s">
        <v>43</v>
      </c>
      <c r="K177" s="28" t="s">
        <v>478</v>
      </c>
      <c r="N177" t="e">
        <v>#REF!</v>
      </c>
      <c r="O177" t="str">
        <f t="shared" si="3"/>
        <v>Margaud Garcia</v>
      </c>
      <c r="P177" s="18">
        <v>2</v>
      </c>
    </row>
    <row r="178" spans="1:16" x14ac:dyDescent="0.45">
      <c r="A178" s="37">
        <v>177</v>
      </c>
      <c r="B178" s="37" t="s">
        <v>1375</v>
      </c>
      <c r="C178" s="37" t="s">
        <v>1419</v>
      </c>
      <c r="D178" s="12" t="s">
        <v>708</v>
      </c>
      <c r="E178" s="12" t="s">
        <v>709</v>
      </c>
      <c r="F178" s="12">
        <v>1</v>
      </c>
      <c r="G178" s="12">
        <v>0</v>
      </c>
      <c r="H178" s="12">
        <v>24</v>
      </c>
      <c r="I178" s="12">
        <v>0</v>
      </c>
      <c r="J178" s="12" t="s">
        <v>43</v>
      </c>
      <c r="K178" s="28" t="s">
        <v>487</v>
      </c>
      <c r="N178" t="e">
        <v>#REF!</v>
      </c>
      <c r="O178" t="str">
        <f t="shared" si="3"/>
        <v>Honoré Poulain</v>
      </c>
      <c r="P178" s="18">
        <v>6</v>
      </c>
    </row>
    <row r="179" spans="1:16" x14ac:dyDescent="0.45">
      <c r="A179" s="37">
        <v>178</v>
      </c>
      <c r="B179" s="37" t="s">
        <v>1425</v>
      </c>
      <c r="C179" s="37" t="s">
        <v>1361</v>
      </c>
      <c r="D179" s="12" t="s">
        <v>710</v>
      </c>
      <c r="E179" s="12" t="s">
        <v>43</v>
      </c>
      <c r="F179" s="12">
        <v>1</v>
      </c>
      <c r="G179" s="12">
        <v>0</v>
      </c>
      <c r="H179" s="12">
        <v>27</v>
      </c>
      <c r="I179" s="12">
        <v>0</v>
      </c>
      <c r="J179" s="12" t="s">
        <v>43</v>
      </c>
      <c r="K179" s="28" t="s">
        <v>478</v>
      </c>
      <c r="N179" t="e">
        <v>#REF!</v>
      </c>
      <c r="O179" t="str">
        <f t="shared" si="3"/>
        <v>Laure Marty</v>
      </c>
      <c r="P179" s="18">
        <v>2</v>
      </c>
    </row>
    <row r="180" spans="1:16" x14ac:dyDescent="0.45">
      <c r="A180" s="37">
        <v>179</v>
      </c>
      <c r="B180" s="37" t="s">
        <v>1426</v>
      </c>
      <c r="C180" s="37" t="s">
        <v>1427</v>
      </c>
      <c r="D180" s="12"/>
      <c r="E180" s="12"/>
      <c r="F180" s="12">
        <v>0</v>
      </c>
      <c r="G180" s="12">
        <v>0</v>
      </c>
      <c r="H180" s="12"/>
      <c r="I180" s="12">
        <v>1</v>
      </c>
      <c r="J180" s="12" t="s">
        <v>90</v>
      </c>
      <c r="K180" s="28">
        <v>1</v>
      </c>
      <c r="L180" s="9">
        <v>6</v>
      </c>
      <c r="M180" s="9">
        <v>1</v>
      </c>
      <c r="N180" t="e">
        <v>#REF!</v>
      </c>
      <c r="O180" t="str">
        <f t="shared" si="3"/>
        <v>Odette Carpentier</v>
      </c>
      <c r="P180" s="18">
        <v>6</v>
      </c>
    </row>
    <row r="181" spans="1:16" x14ac:dyDescent="0.45">
      <c r="A181" s="37">
        <v>180</v>
      </c>
      <c r="B181" s="37" t="s">
        <v>1290</v>
      </c>
      <c r="C181" s="37" t="s">
        <v>1428</v>
      </c>
      <c r="D181" s="12" t="s">
        <v>711</v>
      </c>
      <c r="E181" s="12" t="s">
        <v>712</v>
      </c>
      <c r="F181" s="12">
        <v>1</v>
      </c>
      <c r="G181" s="12">
        <v>0</v>
      </c>
      <c r="H181" s="12">
        <v>33</v>
      </c>
      <c r="I181" s="12">
        <v>0</v>
      </c>
      <c r="J181" s="12" t="s">
        <v>43</v>
      </c>
      <c r="K181" s="28" t="s">
        <v>478</v>
      </c>
      <c r="N181" t="e">
        <v>#REF!</v>
      </c>
      <c r="O181" t="str">
        <f t="shared" si="3"/>
        <v>Margaud Michaud</v>
      </c>
      <c r="P181" s="18">
        <v>8</v>
      </c>
    </row>
    <row r="182" spans="1:16" x14ac:dyDescent="0.45">
      <c r="A182" s="37">
        <v>181</v>
      </c>
      <c r="B182" s="37" t="s">
        <v>1414</v>
      </c>
      <c r="C182" s="37" t="s">
        <v>1351</v>
      </c>
      <c r="D182" s="12" t="s">
        <v>713</v>
      </c>
      <c r="E182" s="12" t="s">
        <v>714</v>
      </c>
      <c r="F182" s="12">
        <v>1</v>
      </c>
      <c r="G182" s="12">
        <v>0</v>
      </c>
      <c r="H182" s="12">
        <v>26</v>
      </c>
      <c r="I182" s="12">
        <v>0</v>
      </c>
      <c r="J182" s="12" t="s">
        <v>43</v>
      </c>
      <c r="K182" s="28" t="s">
        <v>478</v>
      </c>
      <c r="N182" t="e">
        <v>#REF!</v>
      </c>
      <c r="O182" t="str">
        <f t="shared" si="3"/>
        <v>Rémy De Oliveira</v>
      </c>
      <c r="P182" s="18">
        <v>4</v>
      </c>
    </row>
    <row r="183" spans="1:16" x14ac:dyDescent="0.45">
      <c r="A183" s="37">
        <v>182</v>
      </c>
      <c r="B183" s="37" t="s">
        <v>1429</v>
      </c>
      <c r="C183" s="37" t="s">
        <v>1430</v>
      </c>
      <c r="D183" s="12" t="s">
        <v>91</v>
      </c>
      <c r="E183" s="12" t="s">
        <v>92</v>
      </c>
      <c r="F183" s="12">
        <v>0</v>
      </c>
      <c r="G183" s="12">
        <v>0</v>
      </c>
      <c r="H183" s="12"/>
      <c r="I183" s="12">
        <v>1</v>
      </c>
      <c r="J183" s="12" t="s">
        <v>43</v>
      </c>
      <c r="K183" s="28">
        <v>1</v>
      </c>
      <c r="L183" s="9">
        <v>1</v>
      </c>
      <c r="N183" t="e">
        <v>#REF!</v>
      </c>
      <c r="O183" t="str">
        <f t="shared" si="3"/>
        <v>Nicole Rodrigues</v>
      </c>
      <c r="P183" s="18">
        <v>1</v>
      </c>
    </row>
    <row r="184" spans="1:16" x14ac:dyDescent="0.45">
      <c r="A184" s="37">
        <v>183</v>
      </c>
      <c r="B184" s="37" t="s">
        <v>1431</v>
      </c>
      <c r="C184" s="37" t="s">
        <v>1432</v>
      </c>
      <c r="D184" s="12" t="s">
        <v>715</v>
      </c>
      <c r="E184" s="12" t="s">
        <v>716</v>
      </c>
      <c r="F184" s="12">
        <v>1</v>
      </c>
      <c r="G184" s="12">
        <v>0</v>
      </c>
      <c r="H184" s="12">
        <v>10</v>
      </c>
      <c r="I184" s="12">
        <v>0</v>
      </c>
      <c r="J184" s="12" t="s">
        <v>43</v>
      </c>
      <c r="K184" s="28" t="s">
        <v>478</v>
      </c>
      <c r="N184" t="e">
        <v>#REF!</v>
      </c>
      <c r="O184" t="str">
        <f t="shared" si="3"/>
        <v>Laurence Boulay</v>
      </c>
      <c r="P184" s="18">
        <v>2</v>
      </c>
    </row>
    <row r="185" spans="1:16" x14ac:dyDescent="0.45">
      <c r="A185" s="37">
        <v>184</v>
      </c>
      <c r="B185" s="37" t="s">
        <v>1290</v>
      </c>
      <c r="C185" s="37" t="s">
        <v>1322</v>
      </c>
      <c r="D185" s="12" t="s">
        <v>717</v>
      </c>
      <c r="E185" s="12" t="s">
        <v>718</v>
      </c>
      <c r="F185" s="12">
        <v>1</v>
      </c>
      <c r="G185" s="12">
        <v>0</v>
      </c>
      <c r="H185" s="12">
        <v>12</v>
      </c>
      <c r="I185" s="12">
        <v>0</v>
      </c>
      <c r="J185" s="12" t="s">
        <v>43</v>
      </c>
      <c r="K185" s="28" t="s">
        <v>478</v>
      </c>
      <c r="N185" t="e">
        <v>#REF!</v>
      </c>
      <c r="O185" t="str">
        <f t="shared" si="3"/>
        <v>Margaud Legrand</v>
      </c>
      <c r="P185" s="18">
        <v>1</v>
      </c>
    </row>
    <row r="186" spans="1:16" x14ac:dyDescent="0.45">
      <c r="A186" s="37">
        <v>185</v>
      </c>
      <c r="B186" s="37" t="s">
        <v>1236</v>
      </c>
      <c r="C186" s="37" t="s">
        <v>1433</v>
      </c>
      <c r="D186" s="12" t="s">
        <v>719</v>
      </c>
      <c r="E186" s="12" t="s">
        <v>43</v>
      </c>
      <c r="F186" s="12">
        <v>1</v>
      </c>
      <c r="G186" s="12">
        <v>0</v>
      </c>
      <c r="H186" s="12">
        <v>12</v>
      </c>
      <c r="I186" s="12">
        <v>0</v>
      </c>
      <c r="J186" s="12" t="s">
        <v>43</v>
      </c>
      <c r="K186" s="28" t="s">
        <v>487</v>
      </c>
      <c r="N186" t="e">
        <v>#REF!</v>
      </c>
      <c r="O186" t="str">
        <f t="shared" si="3"/>
        <v>Denis Lesage</v>
      </c>
      <c r="P186" s="18">
        <v>1</v>
      </c>
    </row>
    <row r="187" spans="1:16" x14ac:dyDescent="0.45">
      <c r="A187" s="37">
        <v>186</v>
      </c>
      <c r="B187" s="37" t="s">
        <v>188</v>
      </c>
      <c r="C187" s="37" t="s">
        <v>1434</v>
      </c>
      <c r="D187" s="12" t="s">
        <v>721</v>
      </c>
      <c r="E187" s="12" t="s">
        <v>722</v>
      </c>
      <c r="F187" s="12">
        <v>1</v>
      </c>
      <c r="G187" s="12">
        <v>0</v>
      </c>
      <c r="H187" s="12">
        <v>29</v>
      </c>
      <c r="I187" s="12">
        <v>0</v>
      </c>
      <c r="J187" s="12" t="s">
        <v>43</v>
      </c>
      <c r="K187" s="28" t="s">
        <v>487</v>
      </c>
      <c r="N187" t="e">
        <v>#REF!</v>
      </c>
      <c r="O187" t="str">
        <f t="shared" si="3"/>
        <v>Paul Dumas</v>
      </c>
      <c r="P187" s="18">
        <v>5</v>
      </c>
    </row>
    <row r="188" spans="1:16" x14ac:dyDescent="0.45">
      <c r="A188" s="37">
        <v>187</v>
      </c>
      <c r="B188" s="37" t="s">
        <v>431</v>
      </c>
      <c r="C188" s="37" t="s">
        <v>1435</v>
      </c>
      <c r="D188" s="12" t="s">
        <v>270</v>
      </c>
      <c r="E188" s="12" t="s">
        <v>271</v>
      </c>
      <c r="F188" s="12">
        <v>0</v>
      </c>
      <c r="G188" s="12">
        <v>1</v>
      </c>
      <c r="H188" s="12">
        <v>29</v>
      </c>
      <c r="I188" s="12">
        <v>0</v>
      </c>
      <c r="J188" s="12" t="s">
        <v>43</v>
      </c>
      <c r="K188" s="28">
        <v>1</v>
      </c>
      <c r="N188" t="e">
        <v>#REF!</v>
      </c>
      <c r="O188" t="str">
        <f t="shared" si="3"/>
        <v>Capucine Boutin</v>
      </c>
      <c r="P188" s="18">
        <v>5</v>
      </c>
    </row>
    <row r="189" spans="1:16" x14ac:dyDescent="0.45">
      <c r="A189" s="37">
        <v>188</v>
      </c>
      <c r="B189" s="37" t="s">
        <v>1230</v>
      </c>
      <c r="C189" s="37" t="s">
        <v>1391</v>
      </c>
      <c r="D189" s="12" t="s">
        <v>723</v>
      </c>
      <c r="E189" s="12" t="s">
        <v>724</v>
      </c>
      <c r="F189" s="12">
        <v>1</v>
      </c>
      <c r="G189" s="12">
        <v>0</v>
      </c>
      <c r="H189" s="12">
        <v>30</v>
      </c>
      <c r="I189" s="12">
        <v>0</v>
      </c>
      <c r="J189" s="12" t="s">
        <v>43</v>
      </c>
      <c r="K189" s="28" t="s">
        <v>487</v>
      </c>
      <c r="N189" t="e">
        <v>#REF!</v>
      </c>
      <c r="O189" t="str">
        <f t="shared" si="3"/>
        <v>Céline Colas</v>
      </c>
      <c r="P189" s="18">
        <v>8</v>
      </c>
    </row>
    <row r="190" spans="1:16" x14ac:dyDescent="0.45">
      <c r="A190" s="37">
        <v>189</v>
      </c>
      <c r="B190" s="37" t="s">
        <v>1260</v>
      </c>
      <c r="C190" s="37" t="s">
        <v>1436</v>
      </c>
      <c r="D190" s="12" t="s">
        <v>725</v>
      </c>
      <c r="E190" s="12" t="s">
        <v>726</v>
      </c>
      <c r="F190" s="12">
        <v>1</v>
      </c>
      <c r="G190" s="12">
        <v>0</v>
      </c>
      <c r="H190" s="12">
        <v>19</v>
      </c>
      <c r="I190" s="12">
        <v>0</v>
      </c>
      <c r="J190" s="12" t="s">
        <v>43</v>
      </c>
      <c r="K190" s="28" t="s">
        <v>487</v>
      </c>
      <c r="N190" t="e">
        <v>#REF!</v>
      </c>
      <c r="O190" t="str">
        <f t="shared" si="3"/>
        <v>Georges Richard</v>
      </c>
      <c r="P190" s="18">
        <v>3</v>
      </c>
    </row>
    <row r="191" spans="1:16" x14ac:dyDescent="0.45">
      <c r="A191" s="37">
        <v>190</v>
      </c>
      <c r="B191" s="37" t="s">
        <v>1307</v>
      </c>
      <c r="C191" s="37" t="s">
        <v>1276</v>
      </c>
      <c r="D191" s="12" t="s">
        <v>727</v>
      </c>
      <c r="E191" s="12" t="s">
        <v>728</v>
      </c>
      <c r="F191" s="12">
        <v>1</v>
      </c>
      <c r="G191" s="12">
        <v>0</v>
      </c>
      <c r="H191" s="12">
        <v>23</v>
      </c>
      <c r="I191" s="12">
        <v>0</v>
      </c>
      <c r="J191" s="12" t="s">
        <v>43</v>
      </c>
      <c r="K191" s="28" t="s">
        <v>487</v>
      </c>
      <c r="N191" t="e">
        <v>#REF!</v>
      </c>
      <c r="O191" t="str">
        <f t="shared" si="3"/>
        <v>Julie Andre</v>
      </c>
      <c r="P191" s="18">
        <v>5</v>
      </c>
    </row>
    <row r="192" spans="1:16" x14ac:dyDescent="0.45">
      <c r="A192" s="37">
        <v>191</v>
      </c>
      <c r="B192" s="37" t="s">
        <v>466</v>
      </c>
      <c r="C192" s="37" t="s">
        <v>1235</v>
      </c>
      <c r="D192" s="12" t="s">
        <v>272</v>
      </c>
      <c r="E192" s="12" t="s">
        <v>273</v>
      </c>
      <c r="F192" s="12">
        <v>0</v>
      </c>
      <c r="G192" s="12">
        <v>1</v>
      </c>
      <c r="H192" s="12">
        <v>34</v>
      </c>
      <c r="I192" s="12">
        <v>0</v>
      </c>
      <c r="J192" s="12" t="s">
        <v>43</v>
      </c>
      <c r="K192" s="28">
        <v>1</v>
      </c>
      <c r="N192" t="e">
        <v>#REF!</v>
      </c>
      <c r="O192" t="str">
        <f t="shared" si="3"/>
        <v>Thibaut Descamps</v>
      </c>
      <c r="P192" s="18">
        <v>3</v>
      </c>
    </row>
    <row r="193" spans="1:16" x14ac:dyDescent="0.45">
      <c r="A193" s="37">
        <v>192</v>
      </c>
      <c r="B193" s="37" t="s">
        <v>1343</v>
      </c>
      <c r="C193" s="37" t="s">
        <v>1286</v>
      </c>
      <c r="D193" s="12" t="s">
        <v>729</v>
      </c>
      <c r="E193" s="12" t="s">
        <v>730</v>
      </c>
      <c r="F193" s="12">
        <v>1</v>
      </c>
      <c r="G193" s="12">
        <v>0</v>
      </c>
      <c r="H193" s="12">
        <v>10</v>
      </c>
      <c r="I193" s="12">
        <v>0</v>
      </c>
      <c r="J193" s="12" t="s">
        <v>43</v>
      </c>
      <c r="K193" s="28" t="s">
        <v>478</v>
      </c>
      <c r="N193" t="e">
        <v>#REF!</v>
      </c>
      <c r="O193" t="str">
        <f t="shared" si="3"/>
        <v>Véronique Rousset</v>
      </c>
      <c r="P193" s="18">
        <v>2</v>
      </c>
    </row>
    <row r="194" spans="1:16" x14ac:dyDescent="0.45">
      <c r="A194" s="37">
        <v>193</v>
      </c>
      <c r="B194" s="37" t="s">
        <v>1326</v>
      </c>
      <c r="C194" s="37" t="s">
        <v>1437</v>
      </c>
      <c r="D194" s="12" t="s">
        <v>731</v>
      </c>
      <c r="E194" s="12" t="s">
        <v>732</v>
      </c>
      <c r="F194" s="12">
        <v>1</v>
      </c>
      <c r="G194" s="12">
        <v>0</v>
      </c>
      <c r="H194" s="12">
        <v>41</v>
      </c>
      <c r="I194" s="12">
        <v>0</v>
      </c>
      <c r="J194" s="12" t="s">
        <v>43</v>
      </c>
      <c r="K194" s="28" t="s">
        <v>478</v>
      </c>
      <c r="L194" s="9">
        <v>9</v>
      </c>
      <c r="N194" t="e">
        <v>#REF!</v>
      </c>
      <c r="O194" t="str">
        <f t="shared" si="3"/>
        <v>David Goncalves</v>
      </c>
      <c r="P194" s="18">
        <v>9</v>
      </c>
    </row>
    <row r="195" spans="1:16" x14ac:dyDescent="0.45">
      <c r="A195" s="37">
        <v>194</v>
      </c>
      <c r="B195" s="37" t="s">
        <v>1327</v>
      </c>
      <c r="C195" s="37" t="s">
        <v>1438</v>
      </c>
      <c r="D195" s="12" t="s">
        <v>274</v>
      </c>
      <c r="E195" s="12" t="s">
        <v>275</v>
      </c>
      <c r="F195" s="12">
        <v>0</v>
      </c>
      <c r="G195" s="12">
        <v>1</v>
      </c>
      <c r="H195" s="12">
        <v>20</v>
      </c>
      <c r="I195" s="12">
        <v>0</v>
      </c>
      <c r="J195" s="12" t="s">
        <v>43</v>
      </c>
      <c r="K195" s="28">
        <v>1</v>
      </c>
      <c r="N195" t="e">
        <v>#REF!</v>
      </c>
      <c r="O195" t="str">
        <f t="shared" si="3"/>
        <v>Valentine Imbert</v>
      </c>
      <c r="P195" s="18">
        <v>8</v>
      </c>
    </row>
    <row r="196" spans="1:16" x14ac:dyDescent="0.45">
      <c r="A196" s="37">
        <v>195</v>
      </c>
      <c r="B196" s="37" t="s">
        <v>1258</v>
      </c>
      <c r="C196" s="37" t="s">
        <v>1385</v>
      </c>
      <c r="D196" s="12" t="s">
        <v>734</v>
      </c>
      <c r="E196" s="12" t="s">
        <v>735</v>
      </c>
      <c r="F196" s="12">
        <v>1</v>
      </c>
      <c r="G196" s="12">
        <v>0</v>
      </c>
      <c r="H196" s="12">
        <v>37</v>
      </c>
      <c r="I196" s="12">
        <v>0</v>
      </c>
      <c r="J196" s="12" t="s">
        <v>43</v>
      </c>
      <c r="K196" s="28" t="s">
        <v>478</v>
      </c>
      <c r="N196" t="e">
        <v>#REF!</v>
      </c>
      <c r="O196" t="str">
        <f t="shared" si="3"/>
        <v>Émilie Diaz</v>
      </c>
      <c r="P196" s="18">
        <v>5</v>
      </c>
    </row>
    <row r="197" spans="1:16" x14ac:dyDescent="0.45">
      <c r="A197" s="37">
        <v>196</v>
      </c>
      <c r="B197" s="37" t="s">
        <v>820</v>
      </c>
      <c r="C197" s="37" t="s">
        <v>1439</v>
      </c>
      <c r="D197" s="12" t="s">
        <v>276</v>
      </c>
      <c r="E197" s="12" t="s">
        <v>277</v>
      </c>
      <c r="F197" s="12">
        <v>0</v>
      </c>
      <c r="G197" s="12">
        <v>1</v>
      </c>
      <c r="H197" s="12">
        <v>13</v>
      </c>
      <c r="I197" s="12">
        <v>0</v>
      </c>
      <c r="J197" s="12" t="s">
        <v>43</v>
      </c>
      <c r="K197" s="28">
        <v>1</v>
      </c>
      <c r="N197" t="e">
        <v>#REF!</v>
      </c>
      <c r="O197" t="str">
        <f t="shared" si="3"/>
        <v>Luc Mendès</v>
      </c>
      <c r="P197" s="18">
        <v>4</v>
      </c>
    </row>
    <row r="198" spans="1:16" x14ac:dyDescent="0.45">
      <c r="A198" s="37">
        <v>197</v>
      </c>
      <c r="B198" s="37" t="s">
        <v>912</v>
      </c>
      <c r="C198" s="37" t="s">
        <v>1339</v>
      </c>
      <c r="D198" s="12" t="s">
        <v>736</v>
      </c>
      <c r="E198" s="12" t="s">
        <v>737</v>
      </c>
      <c r="F198" s="12">
        <v>1</v>
      </c>
      <c r="G198" s="12">
        <v>0</v>
      </c>
      <c r="H198" s="12">
        <v>42</v>
      </c>
      <c r="I198" s="12">
        <v>0</v>
      </c>
      <c r="J198" s="12" t="s">
        <v>43</v>
      </c>
      <c r="K198" s="28" t="s">
        <v>478</v>
      </c>
      <c r="L198" s="9">
        <v>9</v>
      </c>
      <c r="N198" t="e">
        <v>#REF!</v>
      </c>
      <c r="O198" t="str">
        <f t="shared" si="3"/>
        <v>Augustin De Sousa</v>
      </c>
      <c r="P198" s="18">
        <v>9</v>
      </c>
    </row>
    <row r="199" spans="1:16" x14ac:dyDescent="0.45">
      <c r="A199" s="37">
        <v>198</v>
      </c>
      <c r="B199" s="37" t="s">
        <v>1440</v>
      </c>
      <c r="C199" s="37" t="s">
        <v>1441</v>
      </c>
      <c r="D199" s="12" t="s">
        <v>738</v>
      </c>
      <c r="E199" s="12" t="s">
        <v>739</v>
      </c>
      <c r="F199" s="12">
        <v>1</v>
      </c>
      <c r="G199" s="12">
        <v>0</v>
      </c>
      <c r="H199" s="12">
        <v>31</v>
      </c>
      <c r="I199" s="12">
        <v>0</v>
      </c>
      <c r="J199" s="12" t="s">
        <v>43</v>
      </c>
      <c r="K199" s="28" t="s">
        <v>478</v>
      </c>
      <c r="N199" t="e">
        <v>#REF!</v>
      </c>
      <c r="O199" t="str">
        <f t="shared" si="3"/>
        <v>Geneviève Jacquet</v>
      </c>
      <c r="P199" s="18">
        <v>6</v>
      </c>
    </row>
    <row r="200" spans="1:16" x14ac:dyDescent="0.45">
      <c r="A200" s="37">
        <v>199</v>
      </c>
      <c r="B200" s="37" t="s">
        <v>1442</v>
      </c>
      <c r="C200" s="37" t="s">
        <v>1443</v>
      </c>
      <c r="D200" s="12" t="s">
        <v>740</v>
      </c>
      <c r="E200" s="12" t="s">
        <v>741</v>
      </c>
      <c r="F200" s="12">
        <v>1</v>
      </c>
      <c r="G200" s="12">
        <v>0</v>
      </c>
      <c r="H200" s="12">
        <v>31</v>
      </c>
      <c r="I200" s="12">
        <v>0</v>
      </c>
      <c r="J200" s="12" t="s">
        <v>43</v>
      </c>
      <c r="K200" s="28" t="s">
        <v>487</v>
      </c>
      <c r="N200" t="e">
        <v>#REF!</v>
      </c>
      <c r="O200" t="str">
        <f t="shared" si="3"/>
        <v>Antoinette Seguin</v>
      </c>
      <c r="P200" s="18">
        <v>6</v>
      </c>
    </row>
    <row r="201" spans="1:16" x14ac:dyDescent="0.45">
      <c r="A201" s="37">
        <v>200</v>
      </c>
      <c r="B201" s="37" t="s">
        <v>1444</v>
      </c>
      <c r="C201" s="37" t="s">
        <v>1445</v>
      </c>
      <c r="D201" s="12" t="s">
        <v>93</v>
      </c>
      <c r="E201" s="12" t="s">
        <v>94</v>
      </c>
      <c r="F201" s="12">
        <v>0</v>
      </c>
      <c r="G201" s="12">
        <v>0</v>
      </c>
      <c r="H201" s="12"/>
      <c r="I201" s="12">
        <v>1</v>
      </c>
      <c r="J201" s="12" t="s">
        <v>95</v>
      </c>
      <c r="K201" s="28">
        <v>1</v>
      </c>
      <c r="L201" s="9">
        <v>1</v>
      </c>
      <c r="N201" t="e">
        <v>#REF!</v>
      </c>
      <c r="O201" t="str">
        <f t="shared" si="3"/>
        <v>Maryse Breton</v>
      </c>
      <c r="P201" s="18">
        <v>1</v>
      </c>
    </row>
    <row r="202" spans="1:16" x14ac:dyDescent="0.45">
      <c r="A202" s="37">
        <v>201</v>
      </c>
      <c r="B202" s="37" t="s">
        <v>342</v>
      </c>
      <c r="C202" s="37" t="s">
        <v>1446</v>
      </c>
      <c r="D202" s="12" t="s">
        <v>278</v>
      </c>
      <c r="E202" s="12" t="s">
        <v>279</v>
      </c>
      <c r="F202" s="12">
        <v>0</v>
      </c>
      <c r="G202" s="12">
        <v>1</v>
      </c>
      <c r="H202" s="12">
        <v>28</v>
      </c>
      <c r="I202" s="12">
        <v>0</v>
      </c>
      <c r="J202" s="12" t="s">
        <v>43</v>
      </c>
      <c r="K202" s="28">
        <v>1</v>
      </c>
      <c r="N202" t="e">
        <v>#REF!</v>
      </c>
      <c r="O202" t="str">
        <f t="shared" si="3"/>
        <v>Hortense Lambert</v>
      </c>
      <c r="P202" s="18">
        <v>7</v>
      </c>
    </row>
    <row r="203" spans="1:16" x14ac:dyDescent="0.45">
      <c r="A203" s="37">
        <v>202</v>
      </c>
      <c r="B203" s="37" t="s">
        <v>1270</v>
      </c>
      <c r="C203" s="37" t="s">
        <v>1319</v>
      </c>
      <c r="D203" s="12" t="s">
        <v>743</v>
      </c>
      <c r="E203" s="12" t="s">
        <v>744</v>
      </c>
      <c r="F203" s="12">
        <v>1</v>
      </c>
      <c r="G203" s="12">
        <v>0</v>
      </c>
      <c r="H203" s="12">
        <v>18</v>
      </c>
      <c r="I203" s="12">
        <v>0</v>
      </c>
      <c r="J203" s="12" t="s">
        <v>43</v>
      </c>
      <c r="K203" s="28" t="s">
        <v>478</v>
      </c>
      <c r="N203" t="e">
        <v>#REF!</v>
      </c>
      <c r="O203" t="str">
        <f t="shared" si="3"/>
        <v>Renée Girard</v>
      </c>
      <c r="P203" s="18">
        <v>7</v>
      </c>
    </row>
    <row r="204" spans="1:16" x14ac:dyDescent="0.45">
      <c r="A204" s="37">
        <v>203</v>
      </c>
      <c r="B204" s="37" t="s">
        <v>1307</v>
      </c>
      <c r="C204" s="37" t="s">
        <v>1447</v>
      </c>
      <c r="D204" s="12" t="s">
        <v>96</v>
      </c>
      <c r="E204" s="12" t="s">
        <v>97</v>
      </c>
      <c r="F204" s="12">
        <v>0</v>
      </c>
      <c r="G204" s="12">
        <v>0</v>
      </c>
      <c r="H204" s="12"/>
      <c r="I204" s="12">
        <v>1</v>
      </c>
      <c r="J204" s="12" t="s">
        <v>98</v>
      </c>
      <c r="K204" s="28">
        <v>1</v>
      </c>
      <c r="L204" s="9">
        <v>1</v>
      </c>
      <c r="N204" t="e">
        <v>#REF!</v>
      </c>
      <c r="O204" t="str">
        <f t="shared" si="3"/>
        <v>Julie Blin</v>
      </c>
      <c r="P204" s="18">
        <v>1</v>
      </c>
    </row>
    <row r="205" spans="1:16" x14ac:dyDescent="0.45">
      <c r="A205" s="37">
        <v>204</v>
      </c>
      <c r="B205" s="37" t="s">
        <v>671</v>
      </c>
      <c r="C205" s="37" t="s">
        <v>1448</v>
      </c>
      <c r="D205" s="12" t="s">
        <v>280</v>
      </c>
      <c r="E205" s="12" t="s">
        <v>281</v>
      </c>
      <c r="F205" s="12">
        <v>0</v>
      </c>
      <c r="G205" s="12">
        <v>1</v>
      </c>
      <c r="H205" s="12">
        <v>25</v>
      </c>
      <c r="I205" s="12">
        <v>0</v>
      </c>
      <c r="J205" s="12" t="s">
        <v>43</v>
      </c>
      <c r="K205" s="28">
        <v>1</v>
      </c>
      <c r="N205" t="e">
        <v>#REF!</v>
      </c>
      <c r="O205" t="str">
        <f t="shared" si="3"/>
        <v>Marguerite Dubois</v>
      </c>
      <c r="P205" s="18">
        <v>2</v>
      </c>
    </row>
    <row r="206" spans="1:16" x14ac:dyDescent="0.45">
      <c r="A206" s="37">
        <v>205</v>
      </c>
      <c r="B206" s="37" t="s">
        <v>1254</v>
      </c>
      <c r="C206" s="37" t="s">
        <v>1283</v>
      </c>
      <c r="D206" s="12" t="s">
        <v>745</v>
      </c>
      <c r="E206" s="12" t="s">
        <v>746</v>
      </c>
      <c r="F206" s="12">
        <v>1</v>
      </c>
      <c r="G206" s="12">
        <v>0</v>
      </c>
      <c r="H206" s="12">
        <v>25</v>
      </c>
      <c r="I206" s="12">
        <v>0</v>
      </c>
      <c r="J206" s="12" t="s">
        <v>43</v>
      </c>
      <c r="K206" s="28" t="s">
        <v>478</v>
      </c>
      <c r="N206" t="e">
        <v>#REF!</v>
      </c>
      <c r="O206" t="str">
        <f t="shared" si="3"/>
        <v>Gilbert Henry</v>
      </c>
      <c r="P206" s="18">
        <v>2</v>
      </c>
    </row>
    <row r="207" spans="1:16" x14ac:dyDescent="0.45">
      <c r="A207" s="37">
        <v>206</v>
      </c>
      <c r="B207" s="37" t="s">
        <v>1300</v>
      </c>
      <c r="C207" s="37" t="s">
        <v>1280</v>
      </c>
      <c r="D207" s="12" t="s">
        <v>747</v>
      </c>
      <c r="E207" s="12" t="s">
        <v>748</v>
      </c>
      <c r="F207" s="12">
        <v>1</v>
      </c>
      <c r="G207" s="12">
        <v>0</v>
      </c>
      <c r="H207" s="12">
        <v>15</v>
      </c>
      <c r="I207" s="12">
        <v>0</v>
      </c>
      <c r="J207" s="12" t="s">
        <v>43</v>
      </c>
      <c r="K207" s="28" t="s">
        <v>478</v>
      </c>
      <c r="N207" t="e">
        <v>#REF!</v>
      </c>
      <c r="O207" t="str">
        <f t="shared" si="3"/>
        <v>Dorothée Marques</v>
      </c>
      <c r="P207" s="18">
        <v>2</v>
      </c>
    </row>
    <row r="208" spans="1:16" x14ac:dyDescent="0.45">
      <c r="A208" s="37">
        <v>207</v>
      </c>
      <c r="B208" s="37" t="s">
        <v>1449</v>
      </c>
      <c r="C208" s="37" t="s">
        <v>1253</v>
      </c>
      <c r="D208" s="12" t="s">
        <v>99</v>
      </c>
      <c r="E208" s="12" t="s">
        <v>100</v>
      </c>
      <c r="F208" s="12">
        <v>0</v>
      </c>
      <c r="G208" s="12">
        <v>0</v>
      </c>
      <c r="H208" s="12"/>
      <c r="I208" s="12">
        <v>1</v>
      </c>
      <c r="J208" s="12" t="s">
        <v>43</v>
      </c>
      <c r="K208" s="28">
        <v>1</v>
      </c>
      <c r="L208" s="9">
        <v>2</v>
      </c>
      <c r="N208" t="e">
        <v>#REF!</v>
      </c>
      <c r="O208" t="str">
        <f t="shared" si="3"/>
        <v>Gilles Blot</v>
      </c>
      <c r="P208" s="18">
        <v>2</v>
      </c>
    </row>
    <row r="209" spans="1:16" x14ac:dyDescent="0.45">
      <c r="A209" s="37">
        <v>208</v>
      </c>
      <c r="B209" s="37" t="s">
        <v>1379</v>
      </c>
      <c r="C209" s="37" t="s">
        <v>1450</v>
      </c>
      <c r="D209" s="12" t="s">
        <v>282</v>
      </c>
      <c r="E209" s="12" t="s">
        <v>283</v>
      </c>
      <c r="F209" s="12">
        <v>0</v>
      </c>
      <c r="G209" s="12">
        <v>1</v>
      </c>
      <c r="H209" s="12">
        <v>33</v>
      </c>
      <c r="I209" s="12">
        <v>0</v>
      </c>
      <c r="J209" s="12" t="s">
        <v>43</v>
      </c>
      <c r="K209" s="28">
        <v>1</v>
      </c>
      <c r="N209" t="e">
        <v>#REF!</v>
      </c>
      <c r="O209" t="str">
        <f t="shared" si="3"/>
        <v>Stéphanie Le Gall</v>
      </c>
      <c r="P209" s="18">
        <v>8</v>
      </c>
    </row>
    <row r="210" spans="1:16" x14ac:dyDescent="0.45">
      <c r="A210" s="37">
        <v>209</v>
      </c>
      <c r="B210" s="37" t="s">
        <v>1451</v>
      </c>
      <c r="C210" s="37" t="s">
        <v>1303</v>
      </c>
      <c r="D210" s="12" t="s">
        <v>749</v>
      </c>
      <c r="E210" s="12" t="s">
        <v>750</v>
      </c>
      <c r="F210" s="12">
        <v>1</v>
      </c>
      <c r="G210" s="12">
        <v>0</v>
      </c>
      <c r="H210" s="12">
        <v>30</v>
      </c>
      <c r="I210" s="12">
        <v>0</v>
      </c>
      <c r="J210" s="12" t="s">
        <v>43</v>
      </c>
      <c r="K210" s="28" t="s">
        <v>478</v>
      </c>
      <c r="N210" t="e">
        <v>#REF!</v>
      </c>
      <c r="O210" t="str">
        <f t="shared" si="3"/>
        <v>Monique Perret</v>
      </c>
      <c r="P210" s="18">
        <v>8</v>
      </c>
    </row>
    <row r="211" spans="1:16" x14ac:dyDescent="0.45">
      <c r="A211" s="37">
        <v>210</v>
      </c>
      <c r="B211" s="37" t="s">
        <v>1425</v>
      </c>
      <c r="C211" s="37" t="s">
        <v>1263</v>
      </c>
      <c r="D211" s="12" t="s">
        <v>751</v>
      </c>
      <c r="E211" s="12" t="s">
        <v>752</v>
      </c>
      <c r="F211" s="12">
        <v>1</v>
      </c>
      <c r="G211" s="12">
        <v>0</v>
      </c>
      <c r="H211" s="12">
        <v>28</v>
      </c>
      <c r="I211" s="12">
        <v>0</v>
      </c>
      <c r="J211" s="12" t="s">
        <v>43</v>
      </c>
      <c r="K211" s="28" t="s">
        <v>478</v>
      </c>
      <c r="N211" t="e">
        <v>#REF!</v>
      </c>
      <c r="O211" t="str">
        <f t="shared" si="3"/>
        <v>Laure Fouquet</v>
      </c>
      <c r="P211" s="18">
        <v>7</v>
      </c>
    </row>
    <row r="212" spans="1:16" x14ac:dyDescent="0.45">
      <c r="A212" s="37">
        <v>211</v>
      </c>
      <c r="B212" s="37" t="s">
        <v>292</v>
      </c>
      <c r="C212" s="37" t="s">
        <v>1452</v>
      </c>
      <c r="D212" s="12" t="s">
        <v>753</v>
      </c>
      <c r="E212" s="12" t="s">
        <v>754</v>
      </c>
      <c r="F212" s="12">
        <v>1</v>
      </c>
      <c r="G212" s="12">
        <v>0</v>
      </c>
      <c r="H212" s="12">
        <v>18</v>
      </c>
      <c r="I212" s="12">
        <v>0</v>
      </c>
      <c r="J212" s="12" t="s">
        <v>43</v>
      </c>
      <c r="K212" s="28" t="s">
        <v>487</v>
      </c>
      <c r="N212" t="e">
        <v>#REF!</v>
      </c>
      <c r="O212" t="str">
        <f t="shared" si="3"/>
        <v>Charles Huet</v>
      </c>
      <c r="P212" s="18">
        <v>7</v>
      </c>
    </row>
    <row r="213" spans="1:16" x14ac:dyDescent="0.45">
      <c r="A213" s="37">
        <v>212</v>
      </c>
      <c r="B213" s="37" t="s">
        <v>46</v>
      </c>
      <c r="C213" s="37" t="s">
        <v>1285</v>
      </c>
      <c r="D213" s="12" t="s">
        <v>755</v>
      </c>
      <c r="E213" s="12" t="s">
        <v>756</v>
      </c>
      <c r="F213" s="12">
        <v>1</v>
      </c>
      <c r="G213" s="12">
        <v>0</v>
      </c>
      <c r="H213" s="12">
        <v>16</v>
      </c>
      <c r="I213" s="12">
        <v>0</v>
      </c>
      <c r="J213" s="12" t="s">
        <v>43</v>
      </c>
      <c r="K213" s="28" t="s">
        <v>478</v>
      </c>
      <c r="N213" t="e">
        <v>#REF!</v>
      </c>
      <c r="O213" t="str">
        <f t="shared" si="3"/>
        <v>Arthur Rocher</v>
      </c>
      <c r="P213" s="18">
        <v>6</v>
      </c>
    </row>
    <row r="214" spans="1:16" x14ac:dyDescent="0.45">
      <c r="A214" s="37">
        <v>213</v>
      </c>
      <c r="B214" s="37" t="s">
        <v>1410</v>
      </c>
      <c r="C214" s="37" t="s">
        <v>1453</v>
      </c>
      <c r="D214" s="12" t="s">
        <v>101</v>
      </c>
      <c r="E214" s="12" t="s">
        <v>102</v>
      </c>
      <c r="F214" s="12">
        <v>0</v>
      </c>
      <c r="G214" s="12">
        <v>0</v>
      </c>
      <c r="H214" s="12"/>
      <c r="I214" s="12">
        <v>1</v>
      </c>
      <c r="J214" s="12" t="s">
        <v>67</v>
      </c>
      <c r="K214" s="28">
        <v>1</v>
      </c>
      <c r="L214" s="9">
        <v>1</v>
      </c>
      <c r="N214" t="e">
        <v>#REF!</v>
      </c>
      <c r="O214" t="str">
        <f t="shared" si="3"/>
        <v>Théodore Pasquier</v>
      </c>
      <c r="P214" s="18">
        <v>1</v>
      </c>
    </row>
    <row r="215" spans="1:16" x14ac:dyDescent="0.45">
      <c r="A215" s="37">
        <v>214</v>
      </c>
      <c r="B215" s="37" t="s">
        <v>1454</v>
      </c>
      <c r="C215" s="37" t="s">
        <v>1455</v>
      </c>
      <c r="D215" s="12" t="s">
        <v>757</v>
      </c>
      <c r="E215" s="12" t="s">
        <v>758</v>
      </c>
      <c r="F215" s="12">
        <v>1</v>
      </c>
      <c r="G215" s="12">
        <v>0</v>
      </c>
      <c r="H215" s="12">
        <v>6</v>
      </c>
      <c r="I215" s="12">
        <v>0</v>
      </c>
      <c r="J215" s="12" t="s">
        <v>43</v>
      </c>
      <c r="K215" s="28" t="s">
        <v>478</v>
      </c>
      <c r="N215" t="e">
        <v>#REF!</v>
      </c>
      <c r="O215" t="str">
        <f t="shared" si="3"/>
        <v>Andrée Leroux</v>
      </c>
      <c r="P215" s="18">
        <v>9</v>
      </c>
    </row>
    <row r="216" spans="1:16" x14ac:dyDescent="0.45">
      <c r="A216" s="37">
        <v>215</v>
      </c>
      <c r="B216" s="37" t="s">
        <v>233</v>
      </c>
      <c r="C216" s="37" t="s">
        <v>1430</v>
      </c>
      <c r="D216" s="12" t="s">
        <v>103</v>
      </c>
      <c r="E216" s="12" t="s">
        <v>104</v>
      </c>
      <c r="F216" s="12">
        <v>0</v>
      </c>
      <c r="G216" s="12">
        <v>0</v>
      </c>
      <c r="H216" s="12"/>
      <c r="I216" s="12">
        <v>1</v>
      </c>
      <c r="J216" s="12" t="s">
        <v>98</v>
      </c>
      <c r="K216" s="28">
        <v>1</v>
      </c>
      <c r="L216" s="9">
        <v>1</v>
      </c>
      <c r="N216" t="e">
        <v>#REF!</v>
      </c>
      <c r="O216" t="str">
        <f t="shared" si="3"/>
        <v>Jules Rodrigues</v>
      </c>
      <c r="P216" s="18">
        <v>1</v>
      </c>
    </row>
    <row r="217" spans="1:16" x14ac:dyDescent="0.45">
      <c r="A217" s="37">
        <v>216</v>
      </c>
      <c r="B217" s="37" t="s">
        <v>1321</v>
      </c>
      <c r="C217" s="37" t="s">
        <v>1456</v>
      </c>
      <c r="D217" s="12" t="s">
        <v>760</v>
      </c>
      <c r="E217" s="12" t="s">
        <v>761</v>
      </c>
      <c r="F217" s="12">
        <v>1</v>
      </c>
      <c r="G217" s="12">
        <v>0</v>
      </c>
      <c r="H217" s="12">
        <v>12</v>
      </c>
      <c r="I217" s="12">
        <v>0</v>
      </c>
      <c r="J217" s="12" t="s">
        <v>43</v>
      </c>
      <c r="K217" s="28" t="s">
        <v>478</v>
      </c>
      <c r="N217" t="e">
        <v>#REF!</v>
      </c>
      <c r="O217" t="str">
        <f t="shared" si="3"/>
        <v>Valérie Lemaire</v>
      </c>
      <c r="P217" s="18">
        <v>1</v>
      </c>
    </row>
    <row r="218" spans="1:16" x14ac:dyDescent="0.45">
      <c r="A218" s="37">
        <v>217</v>
      </c>
      <c r="B218" s="37" t="s">
        <v>679</v>
      </c>
      <c r="C218" s="37" t="s">
        <v>1324</v>
      </c>
      <c r="D218" s="12" t="s">
        <v>762</v>
      </c>
      <c r="E218" s="12" t="s">
        <v>763</v>
      </c>
      <c r="F218" s="12">
        <v>1</v>
      </c>
      <c r="G218" s="12">
        <v>0</v>
      </c>
      <c r="H218" s="12">
        <v>15</v>
      </c>
      <c r="I218" s="12">
        <v>0</v>
      </c>
      <c r="J218" s="12" t="s">
        <v>43</v>
      </c>
      <c r="K218" s="28" t="s">
        <v>478</v>
      </c>
      <c r="N218" t="e">
        <v>#REF!</v>
      </c>
      <c r="O218" t="str">
        <f t="shared" si="3"/>
        <v>Vincent Michel</v>
      </c>
      <c r="P218" s="18">
        <v>2</v>
      </c>
    </row>
    <row r="219" spans="1:16" x14ac:dyDescent="0.45">
      <c r="A219" s="37">
        <v>218</v>
      </c>
      <c r="B219" s="37" t="s">
        <v>1457</v>
      </c>
      <c r="C219" s="37" t="s">
        <v>1458</v>
      </c>
      <c r="D219" s="12" t="s">
        <v>284</v>
      </c>
      <c r="E219" s="12" t="s">
        <v>285</v>
      </c>
      <c r="F219" s="12">
        <v>0</v>
      </c>
      <c r="G219" s="12">
        <v>1</v>
      </c>
      <c r="H219" s="12">
        <v>34</v>
      </c>
      <c r="I219" s="12">
        <v>0</v>
      </c>
      <c r="J219" s="12" t="s">
        <v>43</v>
      </c>
      <c r="K219" s="28">
        <v>1</v>
      </c>
      <c r="N219" t="e">
        <v>#REF!</v>
      </c>
      <c r="O219" t="str">
        <f t="shared" si="3"/>
        <v>Jacqueline Carlier</v>
      </c>
      <c r="P219" s="18">
        <v>3</v>
      </c>
    </row>
    <row r="220" spans="1:16" x14ac:dyDescent="0.45">
      <c r="A220" s="37">
        <v>219</v>
      </c>
      <c r="B220" s="37" t="s">
        <v>542</v>
      </c>
      <c r="C220" s="37" t="s">
        <v>1459</v>
      </c>
      <c r="D220" s="12" t="s">
        <v>286</v>
      </c>
      <c r="E220" s="12" t="s">
        <v>287</v>
      </c>
      <c r="F220" s="12">
        <v>0</v>
      </c>
      <c r="G220" s="12">
        <v>1</v>
      </c>
      <c r="H220" s="12">
        <v>36</v>
      </c>
      <c r="I220" s="12">
        <v>0</v>
      </c>
      <c r="J220" s="12" t="s">
        <v>43</v>
      </c>
      <c r="K220" s="28">
        <v>1</v>
      </c>
      <c r="N220" t="e">
        <v>#REF!</v>
      </c>
      <c r="O220" t="str">
        <f t="shared" si="3"/>
        <v>Nicolas Menard</v>
      </c>
      <c r="P220" s="18">
        <v>3</v>
      </c>
    </row>
    <row r="221" spans="1:16" x14ac:dyDescent="0.45">
      <c r="A221" s="37">
        <v>220</v>
      </c>
      <c r="B221" s="37" t="s">
        <v>1460</v>
      </c>
      <c r="C221" s="37" t="s">
        <v>1461</v>
      </c>
      <c r="D221" s="12" t="s">
        <v>288</v>
      </c>
      <c r="E221" s="12" t="s">
        <v>289</v>
      </c>
      <c r="F221" s="12">
        <v>0</v>
      </c>
      <c r="G221" s="12">
        <v>1</v>
      </c>
      <c r="H221" s="12">
        <v>27</v>
      </c>
      <c r="I221" s="12">
        <v>0</v>
      </c>
      <c r="J221" s="12" t="s">
        <v>43</v>
      </c>
      <c r="K221" s="28">
        <v>1</v>
      </c>
      <c r="N221" t="e">
        <v>#REF!</v>
      </c>
      <c r="O221" t="str">
        <f t="shared" si="3"/>
        <v>Étienne Hardy</v>
      </c>
      <c r="P221" s="18">
        <v>2</v>
      </c>
    </row>
    <row r="222" spans="1:16" x14ac:dyDescent="0.45">
      <c r="A222" s="37">
        <v>221</v>
      </c>
      <c r="B222" s="37" t="s">
        <v>1462</v>
      </c>
      <c r="C222" s="37" t="s">
        <v>1299</v>
      </c>
      <c r="D222" s="12" t="s">
        <v>764</v>
      </c>
      <c r="E222" s="12" t="s">
        <v>765</v>
      </c>
      <c r="F222" s="12">
        <v>1</v>
      </c>
      <c r="G222" s="12">
        <v>0</v>
      </c>
      <c r="H222" s="12">
        <v>8</v>
      </c>
      <c r="I222" s="12">
        <v>0</v>
      </c>
      <c r="J222" s="12" t="s">
        <v>43</v>
      </c>
      <c r="K222" s="28" t="s">
        <v>478</v>
      </c>
      <c r="N222" t="e">
        <v>#REF!</v>
      </c>
      <c r="O222" t="str">
        <f t="shared" si="3"/>
        <v>Daniel Blondel</v>
      </c>
      <c r="P222" s="18">
        <v>8</v>
      </c>
    </row>
    <row r="223" spans="1:16" x14ac:dyDescent="0.45">
      <c r="A223" s="37">
        <v>222</v>
      </c>
      <c r="B223" s="37" t="s">
        <v>1386</v>
      </c>
      <c r="C223" s="37" t="s">
        <v>1403</v>
      </c>
      <c r="D223" s="12"/>
      <c r="E223" s="12"/>
      <c r="F223" s="12">
        <v>0</v>
      </c>
      <c r="G223" s="12">
        <v>0</v>
      </c>
      <c r="H223" s="12"/>
      <c r="I223" s="12">
        <v>1</v>
      </c>
      <c r="J223" s="12" t="s">
        <v>106</v>
      </c>
      <c r="K223" s="28">
        <v>1</v>
      </c>
      <c r="L223" s="9">
        <v>6</v>
      </c>
      <c r="N223" t="e">
        <v>#REF!</v>
      </c>
      <c r="O223" t="str">
        <f t="shared" si="3"/>
        <v>Marine Fleury</v>
      </c>
      <c r="P223" s="18">
        <v>6</v>
      </c>
    </row>
    <row r="224" spans="1:16" x14ac:dyDescent="0.45">
      <c r="A224" s="37">
        <v>223</v>
      </c>
      <c r="B224" s="37" t="s">
        <v>193</v>
      </c>
      <c r="C224" s="37" t="s">
        <v>767</v>
      </c>
      <c r="D224" s="12" t="s">
        <v>290</v>
      </c>
      <c r="E224" s="12" t="s">
        <v>291</v>
      </c>
      <c r="F224" s="12">
        <v>0</v>
      </c>
      <c r="G224" s="12">
        <v>1</v>
      </c>
      <c r="H224" s="12">
        <v>29</v>
      </c>
      <c r="I224" s="12">
        <v>0</v>
      </c>
      <c r="J224" s="12" t="s">
        <v>43</v>
      </c>
      <c r="K224" s="28">
        <v>1</v>
      </c>
      <c r="N224" t="e">
        <v>#REF!</v>
      </c>
      <c r="O224" t="str">
        <f t="shared" si="3"/>
        <v>Alice Adam</v>
      </c>
      <c r="P224" s="18">
        <v>5</v>
      </c>
    </row>
    <row r="225" spans="1:16" x14ac:dyDescent="0.45">
      <c r="A225" s="37">
        <v>224</v>
      </c>
      <c r="B225" s="37" t="s">
        <v>759</v>
      </c>
      <c r="C225" s="37" t="s">
        <v>1277</v>
      </c>
      <c r="D225" s="12" t="s">
        <v>107</v>
      </c>
      <c r="E225" s="12" t="s">
        <v>108</v>
      </c>
      <c r="F225" s="12">
        <v>0</v>
      </c>
      <c r="G225" s="12">
        <v>0</v>
      </c>
      <c r="H225" s="12"/>
      <c r="I225" s="12">
        <v>1</v>
      </c>
      <c r="J225" s="12" t="s">
        <v>109</v>
      </c>
      <c r="K225" s="28">
        <v>1</v>
      </c>
      <c r="L225" s="9">
        <v>7</v>
      </c>
      <c r="M225" s="9">
        <v>1</v>
      </c>
      <c r="N225" t="e">
        <v>#REF!</v>
      </c>
      <c r="O225" t="str">
        <f t="shared" si="3"/>
        <v>Amélie Jacques</v>
      </c>
      <c r="P225" s="18">
        <v>7</v>
      </c>
    </row>
    <row r="226" spans="1:16" x14ac:dyDescent="0.45">
      <c r="A226" s="37">
        <v>225</v>
      </c>
      <c r="B226" s="37" t="s">
        <v>117</v>
      </c>
      <c r="C226" s="37" t="s">
        <v>1224</v>
      </c>
      <c r="D226" s="12" t="s">
        <v>766</v>
      </c>
      <c r="E226" s="12" t="s">
        <v>43</v>
      </c>
      <c r="F226" s="12">
        <v>1</v>
      </c>
      <c r="G226" s="12">
        <v>0</v>
      </c>
      <c r="H226" s="12">
        <v>24</v>
      </c>
      <c r="I226" s="12">
        <v>0</v>
      </c>
      <c r="J226" s="12" t="s">
        <v>43</v>
      </c>
      <c r="K226" s="28" t="s">
        <v>478</v>
      </c>
      <c r="N226" t="e">
        <v>#REF!</v>
      </c>
      <c r="O226" t="str">
        <f t="shared" ref="O226:O289" si="4">_xlfn.CONCAT(B226, " ", C226)</f>
        <v>Lucas Pires</v>
      </c>
      <c r="P226" s="18">
        <v>6</v>
      </c>
    </row>
    <row r="227" spans="1:16" x14ac:dyDescent="0.45">
      <c r="A227" s="37">
        <v>226</v>
      </c>
      <c r="B227" s="37" t="s">
        <v>1463</v>
      </c>
      <c r="C227" s="37" t="s">
        <v>1437</v>
      </c>
      <c r="D227" s="12" t="s">
        <v>768</v>
      </c>
      <c r="E227" s="12" t="s">
        <v>43</v>
      </c>
      <c r="F227" s="12">
        <v>1</v>
      </c>
      <c r="G227" s="12">
        <v>0</v>
      </c>
      <c r="H227" s="12">
        <v>21</v>
      </c>
      <c r="I227" s="12">
        <v>0</v>
      </c>
      <c r="J227" s="12" t="s">
        <v>43</v>
      </c>
      <c r="K227" s="28" t="s">
        <v>478</v>
      </c>
      <c r="N227" t="e">
        <v>#REF!</v>
      </c>
      <c r="O227" t="str">
        <f t="shared" si="4"/>
        <v>Hugues Goncalves</v>
      </c>
      <c r="P227" s="18">
        <v>3</v>
      </c>
    </row>
    <row r="228" spans="1:16" x14ac:dyDescent="0.45">
      <c r="A228" s="37">
        <v>227</v>
      </c>
      <c r="B228" s="37" t="s">
        <v>647</v>
      </c>
      <c r="C228" s="37" t="s">
        <v>1371</v>
      </c>
      <c r="D228" s="12" t="s">
        <v>110</v>
      </c>
      <c r="E228" s="12" t="s">
        <v>111</v>
      </c>
      <c r="F228" s="12">
        <v>0</v>
      </c>
      <c r="G228" s="12">
        <v>0</v>
      </c>
      <c r="H228" s="12"/>
      <c r="I228" s="12">
        <v>1</v>
      </c>
      <c r="J228" s="12" t="s">
        <v>76</v>
      </c>
      <c r="K228" s="28">
        <v>1</v>
      </c>
      <c r="L228" s="9">
        <v>1</v>
      </c>
      <c r="N228" t="e">
        <v>#REF!</v>
      </c>
      <c r="O228" t="str">
        <f t="shared" si="4"/>
        <v>Gabriel Jean</v>
      </c>
      <c r="P228" s="18">
        <v>1</v>
      </c>
    </row>
    <row r="229" spans="1:16" x14ac:dyDescent="0.45">
      <c r="A229" s="37">
        <v>228</v>
      </c>
      <c r="B229" s="37" t="s">
        <v>1291</v>
      </c>
      <c r="C229" s="37" t="s">
        <v>1450</v>
      </c>
      <c r="D229" s="12" t="s">
        <v>769</v>
      </c>
      <c r="E229" s="12" t="s">
        <v>43</v>
      </c>
      <c r="F229" s="12">
        <v>1</v>
      </c>
      <c r="G229" s="12">
        <v>0</v>
      </c>
      <c r="H229" s="12">
        <v>21</v>
      </c>
      <c r="I229" s="12">
        <v>0</v>
      </c>
      <c r="J229" s="12" t="s">
        <v>43</v>
      </c>
      <c r="K229" s="28" t="s">
        <v>478</v>
      </c>
      <c r="N229" t="e">
        <v>#REF!</v>
      </c>
      <c r="O229" t="str">
        <f t="shared" si="4"/>
        <v>Noël Le Gall</v>
      </c>
      <c r="P229" s="18">
        <v>3</v>
      </c>
    </row>
    <row r="230" spans="1:16" x14ac:dyDescent="0.45">
      <c r="A230" s="37">
        <v>229</v>
      </c>
      <c r="B230" s="37" t="s">
        <v>1464</v>
      </c>
      <c r="C230" s="37" t="s">
        <v>1465</v>
      </c>
      <c r="D230" s="12" t="s">
        <v>770</v>
      </c>
      <c r="E230" s="12" t="s">
        <v>771</v>
      </c>
      <c r="F230" s="12">
        <v>0</v>
      </c>
      <c r="G230" s="12">
        <v>0</v>
      </c>
      <c r="H230" s="12"/>
      <c r="I230" s="12">
        <v>0</v>
      </c>
      <c r="J230" s="12" t="s">
        <v>43</v>
      </c>
      <c r="K230" s="28">
        <v>1</v>
      </c>
      <c r="L230" s="9">
        <v>3</v>
      </c>
      <c r="N230" t="e">
        <v>#REF!</v>
      </c>
      <c r="O230" t="str">
        <f t="shared" si="4"/>
        <v>Joseph Guillot</v>
      </c>
      <c r="P230" s="18">
        <v>3</v>
      </c>
    </row>
    <row r="231" spans="1:16" x14ac:dyDescent="0.45">
      <c r="A231" s="37">
        <v>230</v>
      </c>
      <c r="B231" s="37" t="s">
        <v>319</v>
      </c>
      <c r="C231" s="37" t="s">
        <v>1387</v>
      </c>
      <c r="D231" s="12" t="s">
        <v>772</v>
      </c>
      <c r="E231" s="12" t="s">
        <v>773</v>
      </c>
      <c r="F231" s="12">
        <v>1</v>
      </c>
      <c r="G231" s="12">
        <v>0</v>
      </c>
      <c r="H231" s="12">
        <v>19</v>
      </c>
      <c r="I231" s="12">
        <v>0</v>
      </c>
      <c r="J231" s="12" t="s">
        <v>43</v>
      </c>
      <c r="K231" s="28" t="s">
        <v>478</v>
      </c>
      <c r="N231" t="e">
        <v>#REF!</v>
      </c>
      <c r="O231" t="str">
        <f t="shared" si="4"/>
        <v>Thibault Le Roux</v>
      </c>
      <c r="P231" s="18">
        <v>3</v>
      </c>
    </row>
    <row r="232" spans="1:16" x14ac:dyDescent="0.45">
      <c r="A232" s="37">
        <v>231</v>
      </c>
      <c r="B232" s="37" t="s">
        <v>1330</v>
      </c>
      <c r="C232" s="37" t="s">
        <v>1466</v>
      </c>
      <c r="D232" s="12" t="s">
        <v>112</v>
      </c>
      <c r="E232" s="12" t="s">
        <v>113</v>
      </c>
      <c r="F232" s="12">
        <v>0</v>
      </c>
      <c r="G232" s="12">
        <v>0</v>
      </c>
      <c r="H232" s="12"/>
      <c r="I232" s="12">
        <v>1</v>
      </c>
      <c r="J232" s="12" t="s">
        <v>82</v>
      </c>
      <c r="K232" s="28">
        <v>1</v>
      </c>
      <c r="L232" s="9">
        <v>9</v>
      </c>
      <c r="N232" t="e">
        <v>#REF!</v>
      </c>
      <c r="O232" t="str">
        <f t="shared" si="4"/>
        <v>Martine Lelièvre</v>
      </c>
      <c r="P232" s="18">
        <v>9</v>
      </c>
    </row>
    <row r="233" spans="1:16" x14ac:dyDescent="0.45">
      <c r="A233" s="37">
        <v>232</v>
      </c>
      <c r="B233" s="37" t="s">
        <v>1463</v>
      </c>
      <c r="C233" s="37" t="s">
        <v>1461</v>
      </c>
      <c r="D233" s="12" t="s">
        <v>774</v>
      </c>
      <c r="E233" s="12" t="s">
        <v>775</v>
      </c>
      <c r="F233" s="12">
        <v>1</v>
      </c>
      <c r="G233" s="12">
        <v>0</v>
      </c>
      <c r="H233" s="12">
        <v>7</v>
      </c>
      <c r="I233" s="12">
        <v>0</v>
      </c>
      <c r="J233" s="12" t="s">
        <v>43</v>
      </c>
      <c r="K233" s="28" t="s">
        <v>478</v>
      </c>
      <c r="N233" t="e">
        <v>#REF!</v>
      </c>
      <c r="O233" t="str">
        <f t="shared" si="4"/>
        <v>Hugues Hardy</v>
      </c>
      <c r="P233" s="18">
        <v>1</v>
      </c>
    </row>
    <row r="234" spans="1:16" x14ac:dyDescent="0.45">
      <c r="A234" s="37">
        <v>233</v>
      </c>
      <c r="B234" s="37" t="s">
        <v>802</v>
      </c>
      <c r="C234" s="37" t="s">
        <v>262</v>
      </c>
      <c r="D234" s="12" t="s">
        <v>776</v>
      </c>
      <c r="E234" s="12" t="s">
        <v>777</v>
      </c>
      <c r="F234" s="12">
        <v>1</v>
      </c>
      <c r="G234" s="12">
        <v>0</v>
      </c>
      <c r="H234" s="12">
        <v>24</v>
      </c>
      <c r="I234" s="12">
        <v>0</v>
      </c>
      <c r="J234" s="12" t="s">
        <v>43</v>
      </c>
      <c r="K234" s="28" t="s">
        <v>478</v>
      </c>
      <c r="N234" t="e">
        <v>#REF!</v>
      </c>
      <c r="O234" t="str">
        <f t="shared" si="4"/>
        <v>Agathe Antoine</v>
      </c>
      <c r="P234" s="18">
        <v>6</v>
      </c>
    </row>
    <row r="235" spans="1:16" x14ac:dyDescent="0.45">
      <c r="A235" s="37">
        <v>234</v>
      </c>
      <c r="B235" s="37" t="s">
        <v>1355</v>
      </c>
      <c r="C235" s="37" t="s">
        <v>1467</v>
      </c>
      <c r="D235" s="12" t="s">
        <v>778</v>
      </c>
      <c r="E235" s="12" t="s">
        <v>779</v>
      </c>
      <c r="F235" s="12">
        <v>1</v>
      </c>
      <c r="G235" s="12">
        <v>0</v>
      </c>
      <c r="H235" s="12">
        <v>37</v>
      </c>
      <c r="I235" s="12">
        <v>0</v>
      </c>
      <c r="J235" s="12" t="s">
        <v>43</v>
      </c>
      <c r="K235" s="28" t="s">
        <v>478</v>
      </c>
      <c r="N235" t="e">
        <v>#REF!</v>
      </c>
      <c r="O235" t="str">
        <f t="shared" si="4"/>
        <v>Alfred Schneider</v>
      </c>
      <c r="P235" s="18">
        <v>5</v>
      </c>
    </row>
    <row r="236" spans="1:16" x14ac:dyDescent="0.45">
      <c r="A236" s="37">
        <v>235</v>
      </c>
      <c r="B236" s="37" t="s">
        <v>1449</v>
      </c>
      <c r="C236" s="37" t="s">
        <v>1468</v>
      </c>
      <c r="D236" s="12" t="s">
        <v>780</v>
      </c>
      <c r="E236" s="12" t="s">
        <v>781</v>
      </c>
      <c r="F236" s="12">
        <v>1</v>
      </c>
      <c r="G236" s="12">
        <v>0</v>
      </c>
      <c r="H236" s="12">
        <v>32</v>
      </c>
      <c r="I236" s="12">
        <v>0</v>
      </c>
      <c r="J236" s="12" t="s">
        <v>43</v>
      </c>
      <c r="K236" s="28" t="s">
        <v>478</v>
      </c>
      <c r="N236" t="e">
        <v>#REF!</v>
      </c>
      <c r="O236" t="str">
        <f t="shared" si="4"/>
        <v>Gilles Letellier</v>
      </c>
      <c r="P236" s="18">
        <v>6</v>
      </c>
    </row>
    <row r="237" spans="1:16" x14ac:dyDescent="0.45">
      <c r="A237" s="37">
        <v>236</v>
      </c>
      <c r="B237" s="37" t="s">
        <v>319</v>
      </c>
      <c r="C237" s="37" t="s">
        <v>206</v>
      </c>
      <c r="D237" s="12" t="s">
        <v>293</v>
      </c>
      <c r="E237" s="12" t="s">
        <v>294</v>
      </c>
      <c r="F237" s="12">
        <v>0</v>
      </c>
      <c r="G237" s="12">
        <v>1</v>
      </c>
      <c r="H237" s="12">
        <v>41</v>
      </c>
      <c r="I237" s="12">
        <v>0</v>
      </c>
      <c r="J237" s="12" t="s">
        <v>43</v>
      </c>
      <c r="K237" s="28">
        <v>1</v>
      </c>
      <c r="L237" s="9">
        <v>9</v>
      </c>
      <c r="N237" t="e">
        <v>#REF!</v>
      </c>
      <c r="O237" t="str">
        <f t="shared" si="4"/>
        <v>Thibault Thomas</v>
      </c>
      <c r="P237" s="18">
        <v>9</v>
      </c>
    </row>
    <row r="238" spans="1:16" x14ac:dyDescent="0.45">
      <c r="A238" s="37">
        <v>237</v>
      </c>
      <c r="B238" s="37" t="s">
        <v>1469</v>
      </c>
      <c r="C238" s="37" t="s">
        <v>1322</v>
      </c>
      <c r="D238" s="12" t="s">
        <v>782</v>
      </c>
      <c r="E238" s="12" t="s">
        <v>783</v>
      </c>
      <c r="F238" s="12">
        <v>1</v>
      </c>
      <c r="G238" s="12">
        <v>0</v>
      </c>
      <c r="H238" s="12">
        <v>11</v>
      </c>
      <c r="I238" s="12">
        <v>0</v>
      </c>
      <c r="J238" s="12" t="s">
        <v>43</v>
      </c>
      <c r="K238" s="28" t="s">
        <v>487</v>
      </c>
      <c r="N238" t="e">
        <v>#REF!</v>
      </c>
      <c r="O238" t="str">
        <f t="shared" si="4"/>
        <v>Michelle Legrand</v>
      </c>
      <c r="P238" s="18">
        <v>4</v>
      </c>
    </row>
    <row r="239" spans="1:16" x14ac:dyDescent="0.45">
      <c r="A239" s="37">
        <v>238</v>
      </c>
      <c r="B239" s="37" t="s">
        <v>1470</v>
      </c>
      <c r="C239" s="37" t="s">
        <v>1471</v>
      </c>
      <c r="D239" s="12" t="s">
        <v>114</v>
      </c>
      <c r="E239" s="12" t="s">
        <v>115</v>
      </c>
      <c r="F239" s="12">
        <v>0</v>
      </c>
      <c r="G239" s="12">
        <v>0</v>
      </c>
      <c r="H239" s="12"/>
      <c r="I239" s="12">
        <v>1</v>
      </c>
      <c r="J239" s="12" t="s">
        <v>116</v>
      </c>
      <c r="K239" s="28">
        <v>1</v>
      </c>
      <c r="L239" s="9">
        <v>5</v>
      </c>
      <c r="M239" s="9">
        <v>1</v>
      </c>
      <c r="N239" t="e">
        <v>#REF!</v>
      </c>
      <c r="O239" t="str">
        <f t="shared" si="4"/>
        <v>Inès Lombard</v>
      </c>
      <c r="P239" s="18">
        <v>5</v>
      </c>
    </row>
    <row r="240" spans="1:16" x14ac:dyDescent="0.45">
      <c r="A240" s="37">
        <v>239</v>
      </c>
      <c r="B240" s="37" t="s">
        <v>1411</v>
      </c>
      <c r="C240" s="37" t="s">
        <v>1385</v>
      </c>
      <c r="D240" s="12" t="s">
        <v>51</v>
      </c>
      <c r="E240" s="12" t="s">
        <v>52</v>
      </c>
      <c r="F240" s="12">
        <v>0</v>
      </c>
      <c r="G240" s="12">
        <v>0</v>
      </c>
      <c r="H240" s="12"/>
      <c r="I240" s="12">
        <v>1</v>
      </c>
      <c r="J240" s="12" t="s">
        <v>53</v>
      </c>
      <c r="K240" s="28">
        <v>1</v>
      </c>
      <c r="L240" s="9">
        <v>1</v>
      </c>
      <c r="N240" t="e">
        <v>#REF!</v>
      </c>
      <c r="O240" t="str">
        <f t="shared" si="4"/>
        <v>Léon Diaz</v>
      </c>
      <c r="P240" s="18">
        <v>1</v>
      </c>
    </row>
    <row r="241" spans="1:16" x14ac:dyDescent="0.45">
      <c r="A241" s="37">
        <v>240</v>
      </c>
      <c r="B241" s="37" t="s">
        <v>1472</v>
      </c>
      <c r="C241" s="37" t="s">
        <v>1473</v>
      </c>
      <c r="D241" s="12"/>
      <c r="E241" s="12"/>
      <c r="F241" s="12">
        <v>0</v>
      </c>
      <c r="G241" s="12">
        <v>0</v>
      </c>
      <c r="H241" s="12"/>
      <c r="I241" s="12">
        <v>1</v>
      </c>
      <c r="J241" s="12" t="s">
        <v>118</v>
      </c>
      <c r="K241" s="28">
        <v>1</v>
      </c>
      <c r="L241" s="9">
        <v>9</v>
      </c>
      <c r="M241" s="9">
        <v>1</v>
      </c>
      <c r="N241" t="e">
        <v>#REF!</v>
      </c>
      <c r="O241" t="str">
        <f t="shared" si="4"/>
        <v>Luce Renard</v>
      </c>
      <c r="P241" s="18">
        <v>9</v>
      </c>
    </row>
    <row r="242" spans="1:16" x14ac:dyDescent="0.45">
      <c r="A242" s="37">
        <v>241</v>
      </c>
      <c r="B242" s="37" t="s">
        <v>453</v>
      </c>
      <c r="C242" s="37" t="s">
        <v>1466</v>
      </c>
      <c r="D242" s="12" t="s">
        <v>784</v>
      </c>
      <c r="E242" s="12" t="s">
        <v>43</v>
      </c>
      <c r="F242" s="12">
        <v>1</v>
      </c>
      <c r="G242" s="12">
        <v>0</v>
      </c>
      <c r="H242" s="12">
        <v>18</v>
      </c>
      <c r="I242" s="12">
        <v>0</v>
      </c>
      <c r="J242" s="12" t="s">
        <v>43</v>
      </c>
      <c r="K242" s="28" t="s">
        <v>487</v>
      </c>
      <c r="N242" t="e">
        <v>#REF!</v>
      </c>
      <c r="O242" t="str">
        <f t="shared" si="4"/>
        <v>Camille Lelièvre</v>
      </c>
      <c r="P242" s="18">
        <v>7</v>
      </c>
    </row>
    <row r="243" spans="1:16" x14ac:dyDescent="0.45">
      <c r="A243" s="37">
        <v>242</v>
      </c>
      <c r="B243" s="37" t="s">
        <v>1474</v>
      </c>
      <c r="C243" s="37" t="s">
        <v>1475</v>
      </c>
      <c r="D243" s="12" t="s">
        <v>295</v>
      </c>
      <c r="E243" s="12" t="s">
        <v>296</v>
      </c>
      <c r="F243" s="12">
        <v>0</v>
      </c>
      <c r="G243" s="12">
        <v>1</v>
      </c>
      <c r="H243" s="12">
        <v>35</v>
      </c>
      <c r="I243" s="12">
        <v>0</v>
      </c>
      <c r="J243" s="12" t="s">
        <v>43</v>
      </c>
      <c r="K243" s="28">
        <v>1</v>
      </c>
      <c r="N243" t="e">
        <v>#REF!</v>
      </c>
      <c r="O243" t="str">
        <f t="shared" si="4"/>
        <v>Dominique Fontaine</v>
      </c>
      <c r="P243" s="18">
        <v>9</v>
      </c>
    </row>
    <row r="244" spans="1:16" x14ac:dyDescent="0.45">
      <c r="A244" s="37">
        <v>243</v>
      </c>
      <c r="B244" s="37" t="s">
        <v>1262</v>
      </c>
      <c r="C244" s="37" t="s">
        <v>1382</v>
      </c>
      <c r="D244" s="12" t="s">
        <v>785</v>
      </c>
      <c r="E244" s="12" t="s">
        <v>786</v>
      </c>
      <c r="F244" s="12">
        <v>1</v>
      </c>
      <c r="G244" s="12">
        <v>0</v>
      </c>
      <c r="H244" s="12">
        <v>14</v>
      </c>
      <c r="I244" s="12">
        <v>0</v>
      </c>
      <c r="J244" s="12" t="s">
        <v>43</v>
      </c>
      <c r="K244" s="28" t="s">
        <v>478</v>
      </c>
      <c r="N244" t="e">
        <v>#REF!</v>
      </c>
      <c r="O244" t="str">
        <f t="shared" si="4"/>
        <v>Suzanne Leconte</v>
      </c>
      <c r="P244" s="18">
        <v>7</v>
      </c>
    </row>
    <row r="245" spans="1:16" x14ac:dyDescent="0.45">
      <c r="A245" s="37">
        <v>244</v>
      </c>
      <c r="B245" s="37" t="s">
        <v>1388</v>
      </c>
      <c r="C245" s="37" t="s">
        <v>1428</v>
      </c>
      <c r="D245" s="12" t="s">
        <v>787</v>
      </c>
      <c r="E245" s="12" t="s">
        <v>788</v>
      </c>
      <c r="F245" s="12">
        <v>1</v>
      </c>
      <c r="G245" s="12">
        <v>0</v>
      </c>
      <c r="H245" s="12">
        <v>14</v>
      </c>
      <c r="I245" s="12">
        <v>0</v>
      </c>
      <c r="J245" s="12" t="s">
        <v>43</v>
      </c>
      <c r="K245" s="28" t="s">
        <v>478</v>
      </c>
      <c r="N245" t="e">
        <v>#REF!</v>
      </c>
      <c r="O245" t="str">
        <f t="shared" si="4"/>
        <v>Colette Michaud</v>
      </c>
      <c r="P245" s="18">
        <v>7</v>
      </c>
    </row>
    <row r="246" spans="1:16" x14ac:dyDescent="0.45">
      <c r="A246" s="37">
        <v>245</v>
      </c>
      <c r="B246" s="37" t="s">
        <v>1273</v>
      </c>
      <c r="C246" s="37" t="s">
        <v>1473</v>
      </c>
      <c r="D246" s="12" t="s">
        <v>789</v>
      </c>
      <c r="E246" s="12" t="s">
        <v>790</v>
      </c>
      <c r="F246" s="12">
        <v>1</v>
      </c>
      <c r="G246" s="12">
        <v>0</v>
      </c>
      <c r="H246" s="12">
        <v>10</v>
      </c>
      <c r="I246" s="12">
        <v>0</v>
      </c>
      <c r="J246" s="12" t="s">
        <v>43</v>
      </c>
      <c r="K246" s="28" t="s">
        <v>478</v>
      </c>
      <c r="N246" t="e">
        <v>#REF!</v>
      </c>
      <c r="O246" t="str">
        <f t="shared" si="4"/>
        <v>Aurélie Renard</v>
      </c>
      <c r="P246" s="18">
        <v>2</v>
      </c>
    </row>
    <row r="247" spans="1:16" x14ac:dyDescent="0.45">
      <c r="A247" s="37">
        <v>246</v>
      </c>
      <c r="B247" s="37" t="s">
        <v>1288</v>
      </c>
      <c r="C247" s="37" t="s">
        <v>1268</v>
      </c>
      <c r="D247" s="12" t="s">
        <v>297</v>
      </c>
      <c r="E247" s="12" t="s">
        <v>298</v>
      </c>
      <c r="F247" s="12">
        <v>0</v>
      </c>
      <c r="G247" s="12">
        <v>1</v>
      </c>
      <c r="H247" s="12">
        <v>16</v>
      </c>
      <c r="I247" s="12">
        <v>0</v>
      </c>
      <c r="J247" s="12" t="s">
        <v>43</v>
      </c>
      <c r="K247" s="28">
        <v>1</v>
      </c>
      <c r="N247" t="e">
        <v>#REF!</v>
      </c>
      <c r="O247" t="str">
        <f t="shared" si="4"/>
        <v>Christiane Pelletier</v>
      </c>
      <c r="P247" s="18">
        <v>6</v>
      </c>
    </row>
    <row r="248" spans="1:16" x14ac:dyDescent="0.45">
      <c r="A248" s="37">
        <v>247</v>
      </c>
      <c r="B248" s="37" t="s">
        <v>1086</v>
      </c>
      <c r="C248" s="37" t="s">
        <v>1476</v>
      </c>
      <c r="D248" s="12" t="s">
        <v>791</v>
      </c>
      <c r="E248" s="12" t="s">
        <v>792</v>
      </c>
      <c r="F248" s="12">
        <v>1</v>
      </c>
      <c r="G248" s="12">
        <v>0</v>
      </c>
      <c r="H248" s="12">
        <v>26</v>
      </c>
      <c r="I248" s="12">
        <v>0</v>
      </c>
      <c r="J248" s="12" t="s">
        <v>43</v>
      </c>
      <c r="K248" s="28" t="s">
        <v>478</v>
      </c>
      <c r="N248" t="e">
        <v>#REF!</v>
      </c>
      <c r="O248" t="str">
        <f t="shared" si="4"/>
        <v>Marc Weiss</v>
      </c>
      <c r="P248" s="18">
        <v>4</v>
      </c>
    </row>
    <row r="249" spans="1:16" x14ac:dyDescent="0.45">
      <c r="A249" s="37">
        <v>248</v>
      </c>
      <c r="B249" s="37" t="s">
        <v>319</v>
      </c>
      <c r="C249" s="37" t="s">
        <v>1322</v>
      </c>
      <c r="D249" s="12" t="s">
        <v>793</v>
      </c>
      <c r="E249" s="12" t="s">
        <v>794</v>
      </c>
      <c r="F249" s="12">
        <v>0</v>
      </c>
      <c r="G249" s="12">
        <v>0</v>
      </c>
      <c r="H249" s="12"/>
      <c r="I249" s="12">
        <v>0</v>
      </c>
      <c r="J249" s="12" t="s">
        <v>43</v>
      </c>
      <c r="K249" s="28">
        <v>1</v>
      </c>
      <c r="L249" s="9">
        <v>6</v>
      </c>
      <c r="N249" t="e">
        <v>#REF!</v>
      </c>
      <c r="O249" t="str">
        <f t="shared" si="4"/>
        <v>Thibault Legrand</v>
      </c>
      <c r="P249" s="18">
        <v>6</v>
      </c>
    </row>
    <row r="250" spans="1:16" x14ac:dyDescent="0.45">
      <c r="A250" s="37">
        <v>249</v>
      </c>
      <c r="B250" s="37" t="s">
        <v>292</v>
      </c>
      <c r="C250" s="37" t="s">
        <v>1287</v>
      </c>
      <c r="D250" s="12" t="s">
        <v>797</v>
      </c>
      <c r="E250" s="12" t="s">
        <v>798</v>
      </c>
      <c r="F250" s="12">
        <v>1</v>
      </c>
      <c r="G250" s="12">
        <v>0</v>
      </c>
      <c r="H250" s="12">
        <v>19</v>
      </c>
      <c r="I250" s="12">
        <v>0</v>
      </c>
      <c r="J250" s="12" t="s">
        <v>43</v>
      </c>
      <c r="K250" s="28" t="s">
        <v>487</v>
      </c>
      <c r="N250" t="e">
        <v>#REF!</v>
      </c>
      <c r="O250" t="str">
        <f t="shared" si="4"/>
        <v>Charles Loiseau</v>
      </c>
      <c r="P250" s="18">
        <v>3</v>
      </c>
    </row>
    <row r="251" spans="1:16" x14ac:dyDescent="0.45">
      <c r="A251" s="37">
        <v>250</v>
      </c>
      <c r="B251" s="37" t="s">
        <v>1325</v>
      </c>
      <c r="C251" s="37" t="s">
        <v>1332</v>
      </c>
      <c r="D251" s="12" t="s">
        <v>795</v>
      </c>
      <c r="E251" s="12" t="s">
        <v>796</v>
      </c>
      <c r="F251" s="12">
        <v>1</v>
      </c>
      <c r="G251" s="12">
        <v>0</v>
      </c>
      <c r="H251" s="12">
        <v>29</v>
      </c>
      <c r="I251" s="12">
        <v>0</v>
      </c>
      <c r="J251" s="12" t="s">
        <v>43</v>
      </c>
      <c r="K251" s="28" t="s">
        <v>478</v>
      </c>
      <c r="N251" t="e">
        <v>#REF!</v>
      </c>
      <c r="O251" t="str">
        <f t="shared" si="4"/>
        <v>Xavier Texier</v>
      </c>
      <c r="P251" s="18">
        <v>5</v>
      </c>
    </row>
    <row r="252" spans="1:16" x14ac:dyDescent="0.45">
      <c r="A252" s="37">
        <v>251</v>
      </c>
      <c r="B252" s="37" t="s">
        <v>679</v>
      </c>
      <c r="C252" s="37" t="s">
        <v>1443</v>
      </c>
      <c r="D252" s="12" t="s">
        <v>799</v>
      </c>
      <c r="E252" s="12" t="s">
        <v>800</v>
      </c>
      <c r="F252" s="12">
        <v>1</v>
      </c>
      <c r="G252" s="12">
        <v>0</v>
      </c>
      <c r="H252" s="12">
        <v>6</v>
      </c>
      <c r="I252" s="12">
        <v>0</v>
      </c>
      <c r="J252" s="12" t="s">
        <v>43</v>
      </c>
      <c r="K252" s="28" t="s">
        <v>478</v>
      </c>
      <c r="N252" t="e">
        <v>#REF!</v>
      </c>
      <c r="O252" t="str">
        <f t="shared" si="4"/>
        <v>Vincent Seguin</v>
      </c>
      <c r="P252" s="18">
        <v>9</v>
      </c>
    </row>
    <row r="253" spans="1:16" x14ac:dyDescent="0.45">
      <c r="A253" s="37">
        <v>252</v>
      </c>
      <c r="B253" s="37" t="s">
        <v>1291</v>
      </c>
      <c r="C253" s="37" t="s">
        <v>1395</v>
      </c>
      <c r="D253" s="12" t="s">
        <v>299</v>
      </c>
      <c r="E253" s="12" t="s">
        <v>300</v>
      </c>
      <c r="F253" s="12">
        <v>0</v>
      </c>
      <c r="G253" s="12">
        <v>1</v>
      </c>
      <c r="H253" s="12">
        <v>24</v>
      </c>
      <c r="I253" s="12">
        <v>0</v>
      </c>
      <c r="J253" s="12" t="s">
        <v>43</v>
      </c>
      <c r="K253" s="28">
        <v>1</v>
      </c>
      <c r="N253" t="e">
        <v>#REF!</v>
      </c>
      <c r="O253" t="str">
        <f t="shared" si="4"/>
        <v>Noël Valette</v>
      </c>
      <c r="P253" s="18">
        <v>6</v>
      </c>
    </row>
    <row r="254" spans="1:16" x14ac:dyDescent="0.45">
      <c r="A254" s="37">
        <v>253</v>
      </c>
      <c r="B254" s="37" t="s">
        <v>1345</v>
      </c>
      <c r="C254" s="37" t="s">
        <v>1477</v>
      </c>
      <c r="D254" s="12" t="s">
        <v>801</v>
      </c>
      <c r="E254" s="12" t="s">
        <v>43</v>
      </c>
      <c r="F254" s="12">
        <v>1</v>
      </c>
      <c r="G254" s="12">
        <v>0</v>
      </c>
      <c r="H254" s="12">
        <v>29</v>
      </c>
      <c r="I254" s="12">
        <v>0</v>
      </c>
      <c r="J254" s="12" t="s">
        <v>43</v>
      </c>
      <c r="K254" s="28" t="s">
        <v>478</v>
      </c>
      <c r="N254" t="e">
        <v>#REF!</v>
      </c>
      <c r="O254" t="str">
        <f t="shared" si="4"/>
        <v>Astrid Gros</v>
      </c>
      <c r="P254" s="18">
        <v>5</v>
      </c>
    </row>
    <row r="255" spans="1:16" x14ac:dyDescent="0.45">
      <c r="A255" s="37">
        <v>254</v>
      </c>
      <c r="B255" s="37" t="s">
        <v>409</v>
      </c>
      <c r="C255" s="37" t="s">
        <v>1478</v>
      </c>
      <c r="D255" s="12" t="s">
        <v>803</v>
      </c>
      <c r="E255" s="12" t="s">
        <v>804</v>
      </c>
      <c r="F255" s="12">
        <v>1</v>
      </c>
      <c r="G255" s="12">
        <v>0</v>
      </c>
      <c r="H255" s="12">
        <v>33</v>
      </c>
      <c r="I255" s="12">
        <v>0</v>
      </c>
      <c r="J255" s="12" t="s">
        <v>43</v>
      </c>
      <c r="K255" s="28" t="s">
        <v>478</v>
      </c>
      <c r="N255" t="e">
        <v>#REF!</v>
      </c>
      <c r="O255" t="str">
        <f t="shared" si="4"/>
        <v>Margaux Sauvage</v>
      </c>
      <c r="P255" s="18">
        <v>8</v>
      </c>
    </row>
    <row r="256" spans="1:16" x14ac:dyDescent="0.45">
      <c r="A256" s="37">
        <v>255</v>
      </c>
      <c r="B256" s="37" t="s">
        <v>1479</v>
      </c>
      <c r="C256" s="37" t="s">
        <v>1480</v>
      </c>
      <c r="D256" s="12" t="s">
        <v>301</v>
      </c>
      <c r="E256" s="12" t="s">
        <v>302</v>
      </c>
      <c r="F256" s="12">
        <v>0</v>
      </c>
      <c r="G256" s="12">
        <v>1</v>
      </c>
      <c r="H256" s="12">
        <v>31</v>
      </c>
      <c r="I256" s="12">
        <v>0</v>
      </c>
      <c r="J256" s="12" t="s">
        <v>43</v>
      </c>
      <c r="K256" s="28">
        <v>1</v>
      </c>
      <c r="N256" t="e">
        <v>#REF!</v>
      </c>
      <c r="O256" t="str">
        <f t="shared" si="4"/>
        <v>Aimé Tessier</v>
      </c>
      <c r="P256" s="18">
        <v>6</v>
      </c>
    </row>
    <row r="257" spans="1:16" x14ac:dyDescent="0.45">
      <c r="A257" s="37">
        <v>256</v>
      </c>
      <c r="B257" s="37" t="s">
        <v>1216</v>
      </c>
      <c r="C257" s="37" t="s">
        <v>1481</v>
      </c>
      <c r="D257" s="12" t="s">
        <v>303</v>
      </c>
      <c r="E257" s="12" t="s">
        <v>304</v>
      </c>
      <c r="F257" s="12">
        <v>0</v>
      </c>
      <c r="G257" s="12">
        <v>1</v>
      </c>
      <c r="H257" s="12">
        <v>25</v>
      </c>
      <c r="I257" s="12">
        <v>0</v>
      </c>
      <c r="J257" s="12" t="s">
        <v>43</v>
      </c>
      <c r="K257" s="28">
        <v>1</v>
      </c>
      <c r="N257" t="e">
        <v>#REF!</v>
      </c>
      <c r="O257" t="str">
        <f t="shared" si="4"/>
        <v>Robert Mace</v>
      </c>
      <c r="P257" s="18">
        <v>2</v>
      </c>
    </row>
    <row r="258" spans="1:16" x14ac:dyDescent="0.45">
      <c r="A258" s="37">
        <v>257</v>
      </c>
      <c r="B258" s="37" t="s">
        <v>269</v>
      </c>
      <c r="C258" s="37" t="s">
        <v>1464</v>
      </c>
      <c r="D258" s="12" t="s">
        <v>305</v>
      </c>
      <c r="E258" s="12" t="s">
        <v>306</v>
      </c>
      <c r="F258" s="12">
        <v>0</v>
      </c>
      <c r="G258" s="12">
        <v>1</v>
      </c>
      <c r="H258" s="12">
        <v>38</v>
      </c>
      <c r="I258" s="12">
        <v>0</v>
      </c>
      <c r="J258" s="12" t="s">
        <v>43</v>
      </c>
      <c r="K258" s="28">
        <v>1</v>
      </c>
      <c r="N258" t="e">
        <v>#REF!</v>
      </c>
      <c r="O258" t="str">
        <f t="shared" si="4"/>
        <v>Louise Joseph</v>
      </c>
      <c r="P258" s="18">
        <v>4</v>
      </c>
    </row>
    <row r="259" spans="1:16" x14ac:dyDescent="0.45">
      <c r="A259" s="37">
        <v>258</v>
      </c>
      <c r="B259" s="37" t="s">
        <v>1482</v>
      </c>
      <c r="C259" s="37" t="s">
        <v>1409</v>
      </c>
      <c r="D259" s="12" t="s">
        <v>805</v>
      </c>
      <c r="E259" s="12" t="s">
        <v>806</v>
      </c>
      <c r="F259" s="12">
        <v>1</v>
      </c>
      <c r="G259" s="12">
        <v>0</v>
      </c>
      <c r="H259" s="12">
        <v>29</v>
      </c>
      <c r="I259" s="12">
        <v>0</v>
      </c>
      <c r="J259" s="12" t="s">
        <v>43</v>
      </c>
      <c r="K259" s="28" t="s">
        <v>478</v>
      </c>
      <c r="N259" t="e">
        <v>#REF!</v>
      </c>
      <c r="O259" t="str">
        <f t="shared" si="4"/>
        <v>Chantal Chauvin</v>
      </c>
      <c r="P259" s="18">
        <v>5</v>
      </c>
    </row>
    <row r="260" spans="1:16" x14ac:dyDescent="0.45">
      <c r="A260" s="37">
        <v>259</v>
      </c>
      <c r="B260" s="37" t="s">
        <v>257</v>
      </c>
      <c r="C260" s="37" t="s">
        <v>1244</v>
      </c>
      <c r="D260" s="12" t="s">
        <v>807</v>
      </c>
      <c r="E260" s="12" t="s">
        <v>808</v>
      </c>
      <c r="F260" s="12">
        <v>1</v>
      </c>
      <c r="G260" s="12">
        <v>0</v>
      </c>
      <c r="H260" s="12">
        <v>27</v>
      </c>
      <c r="I260" s="12">
        <v>0</v>
      </c>
      <c r="J260" s="12" t="s">
        <v>43</v>
      </c>
      <c r="K260" s="28" t="s">
        <v>478</v>
      </c>
      <c r="N260" t="e">
        <v>#REF!</v>
      </c>
      <c r="O260" t="str">
        <f t="shared" si="4"/>
        <v>Louis Lagarde</v>
      </c>
      <c r="P260" s="18">
        <v>2</v>
      </c>
    </row>
    <row r="261" spans="1:16" x14ac:dyDescent="0.45">
      <c r="A261" s="37">
        <v>260</v>
      </c>
      <c r="B261" s="37" t="s">
        <v>1306</v>
      </c>
      <c r="C261" s="37" t="s">
        <v>1483</v>
      </c>
      <c r="D261" s="12" t="s">
        <v>809</v>
      </c>
      <c r="E261" s="12" t="s">
        <v>810</v>
      </c>
      <c r="F261" s="12">
        <v>1</v>
      </c>
      <c r="G261" s="12">
        <v>0</v>
      </c>
      <c r="H261" s="12">
        <v>14</v>
      </c>
      <c r="I261" s="12">
        <v>0</v>
      </c>
      <c r="J261" s="12" t="s">
        <v>43</v>
      </c>
      <c r="K261" s="28" t="s">
        <v>478</v>
      </c>
      <c r="N261" t="e">
        <v>#REF!</v>
      </c>
      <c r="O261" t="str">
        <f t="shared" si="4"/>
        <v>Michèle Giraud</v>
      </c>
      <c r="P261" s="18">
        <v>7</v>
      </c>
    </row>
    <row r="262" spans="1:16" x14ac:dyDescent="0.45">
      <c r="A262" s="37">
        <v>261</v>
      </c>
      <c r="B262" s="37" t="s">
        <v>1484</v>
      </c>
      <c r="C262" s="37" t="s">
        <v>1485</v>
      </c>
      <c r="D262" s="12" t="s">
        <v>119</v>
      </c>
      <c r="E262" s="12" t="s">
        <v>120</v>
      </c>
      <c r="F262" s="12">
        <v>0</v>
      </c>
      <c r="G262" s="12">
        <v>0</v>
      </c>
      <c r="H262" s="12"/>
      <c r="I262" s="12">
        <v>1</v>
      </c>
      <c r="J262" s="12" t="s">
        <v>121</v>
      </c>
      <c r="K262" s="28">
        <v>1</v>
      </c>
      <c r="L262" s="9">
        <v>1</v>
      </c>
      <c r="N262" t="e">
        <v>#REF!</v>
      </c>
      <c r="O262" t="str">
        <f t="shared" si="4"/>
        <v>Virginie Toussaint</v>
      </c>
      <c r="P262" s="18">
        <v>1</v>
      </c>
    </row>
    <row r="263" spans="1:16" x14ac:dyDescent="0.45">
      <c r="A263" s="37">
        <v>262</v>
      </c>
      <c r="B263" s="37" t="s">
        <v>1236</v>
      </c>
      <c r="C263" s="37" t="s">
        <v>1486</v>
      </c>
      <c r="D263" s="12" t="s">
        <v>811</v>
      </c>
      <c r="E263" s="12" t="s">
        <v>812</v>
      </c>
      <c r="F263" s="12">
        <v>1</v>
      </c>
      <c r="G263" s="12">
        <v>0</v>
      </c>
      <c r="H263" s="12">
        <v>13</v>
      </c>
      <c r="I263" s="12">
        <v>0</v>
      </c>
      <c r="J263" s="12" t="s">
        <v>43</v>
      </c>
      <c r="K263" s="28" t="s">
        <v>478</v>
      </c>
      <c r="N263" t="e">
        <v>#REF!</v>
      </c>
      <c r="O263" t="str">
        <f t="shared" si="4"/>
        <v>Denis Leroy</v>
      </c>
      <c r="P263" s="18">
        <v>4</v>
      </c>
    </row>
    <row r="264" spans="1:16" x14ac:dyDescent="0.45">
      <c r="A264" s="37">
        <v>263</v>
      </c>
      <c r="B264" s="37" t="s">
        <v>1330</v>
      </c>
      <c r="C264" s="37" t="s">
        <v>1283</v>
      </c>
      <c r="D264" s="12" t="s">
        <v>813</v>
      </c>
      <c r="E264" s="12" t="s">
        <v>43</v>
      </c>
      <c r="F264" s="12">
        <v>1</v>
      </c>
      <c r="G264" s="12">
        <v>0</v>
      </c>
      <c r="H264" s="12">
        <v>16</v>
      </c>
      <c r="I264" s="12">
        <v>0</v>
      </c>
      <c r="J264" s="12" t="s">
        <v>43</v>
      </c>
      <c r="K264" s="28" t="s">
        <v>487</v>
      </c>
      <c r="N264" t="e">
        <v>#REF!</v>
      </c>
      <c r="O264" t="str">
        <f t="shared" si="4"/>
        <v>Martine Henry</v>
      </c>
      <c r="P264" s="18">
        <v>6</v>
      </c>
    </row>
    <row r="265" spans="1:16" x14ac:dyDescent="0.45">
      <c r="A265" s="37">
        <v>264</v>
      </c>
      <c r="B265" s="37" t="s">
        <v>1211</v>
      </c>
      <c r="C265" s="37" t="s">
        <v>1220</v>
      </c>
      <c r="D265" s="12" t="s">
        <v>814</v>
      </c>
      <c r="E265" s="12" t="s">
        <v>815</v>
      </c>
      <c r="F265" s="12">
        <v>1</v>
      </c>
      <c r="G265" s="12">
        <v>0</v>
      </c>
      <c r="H265" s="12">
        <v>23</v>
      </c>
      <c r="I265" s="12">
        <v>0</v>
      </c>
      <c r="J265" s="12" t="s">
        <v>43</v>
      </c>
      <c r="K265" s="28" t="s">
        <v>487</v>
      </c>
      <c r="N265" t="e">
        <v>#REF!</v>
      </c>
      <c r="O265" t="str">
        <f t="shared" si="4"/>
        <v>Margaret Aubry</v>
      </c>
      <c r="P265" s="18">
        <v>5</v>
      </c>
    </row>
    <row r="266" spans="1:16" x14ac:dyDescent="0.45">
      <c r="A266" s="37">
        <v>265</v>
      </c>
      <c r="B266" s="37" t="s">
        <v>1487</v>
      </c>
      <c r="C266" s="37" t="s">
        <v>1488</v>
      </c>
      <c r="D266" s="12" t="s">
        <v>54</v>
      </c>
      <c r="E266" s="12" t="s">
        <v>55</v>
      </c>
      <c r="F266" s="12">
        <v>0</v>
      </c>
      <c r="G266" s="12">
        <v>0</v>
      </c>
      <c r="H266" s="12"/>
      <c r="I266" s="12">
        <v>1</v>
      </c>
      <c r="J266" s="12" t="s">
        <v>56</v>
      </c>
      <c r="K266" s="28">
        <v>1</v>
      </c>
      <c r="L266" s="9">
        <v>1</v>
      </c>
      <c r="N266" t="e">
        <v>#REF!</v>
      </c>
      <c r="O266" t="str">
        <f t="shared" si="4"/>
        <v>Susan Martins</v>
      </c>
      <c r="P266" s="18">
        <v>1</v>
      </c>
    </row>
    <row r="267" spans="1:16" x14ac:dyDescent="0.45">
      <c r="A267" s="37">
        <v>266</v>
      </c>
      <c r="B267" s="37" t="s">
        <v>117</v>
      </c>
      <c r="C267" s="37" t="s">
        <v>1298</v>
      </c>
      <c r="D267" s="12" t="s">
        <v>122</v>
      </c>
      <c r="E267" s="12" t="s">
        <v>123</v>
      </c>
      <c r="F267" s="12">
        <v>0</v>
      </c>
      <c r="G267" s="12">
        <v>0</v>
      </c>
      <c r="H267" s="12"/>
      <c r="I267" s="12">
        <v>1</v>
      </c>
      <c r="J267" s="12" t="s">
        <v>124</v>
      </c>
      <c r="K267" s="28">
        <v>1</v>
      </c>
      <c r="L267" s="9">
        <v>1</v>
      </c>
      <c r="N267" t="e">
        <v>#REF!</v>
      </c>
      <c r="O267" t="str">
        <f t="shared" si="4"/>
        <v>Lucas Aubert</v>
      </c>
      <c r="P267" s="18">
        <v>1</v>
      </c>
    </row>
    <row r="268" spans="1:16" x14ac:dyDescent="0.45">
      <c r="A268" s="37">
        <v>267</v>
      </c>
      <c r="B268" s="37" t="s">
        <v>1247</v>
      </c>
      <c r="C268" s="37" t="s">
        <v>1489</v>
      </c>
      <c r="D268" s="12" t="s">
        <v>816</v>
      </c>
      <c r="E268" s="12" t="s">
        <v>817</v>
      </c>
      <c r="F268" s="12">
        <v>1</v>
      </c>
      <c r="G268" s="12">
        <v>0</v>
      </c>
      <c r="H268" s="12">
        <v>24</v>
      </c>
      <c r="I268" s="12">
        <v>0</v>
      </c>
      <c r="J268" s="12" t="s">
        <v>43</v>
      </c>
      <c r="K268" s="28" t="s">
        <v>478</v>
      </c>
      <c r="N268" t="e">
        <v>#REF!</v>
      </c>
      <c r="O268" t="str">
        <f t="shared" si="4"/>
        <v>Philippine Da Silva</v>
      </c>
      <c r="P268" s="18">
        <v>6</v>
      </c>
    </row>
    <row r="269" spans="1:16" x14ac:dyDescent="0.45">
      <c r="A269" s="37">
        <v>268</v>
      </c>
      <c r="B269" s="37" t="s">
        <v>1277</v>
      </c>
      <c r="C269" s="37" t="s">
        <v>1405</v>
      </c>
      <c r="D269" s="12" t="s">
        <v>307</v>
      </c>
      <c r="E269" s="12" t="s">
        <v>308</v>
      </c>
      <c r="F269" s="12">
        <v>0</v>
      </c>
      <c r="G269" s="12">
        <v>1</v>
      </c>
      <c r="H269" s="12">
        <v>6</v>
      </c>
      <c r="I269" s="12">
        <v>0</v>
      </c>
      <c r="J269" s="12" t="s">
        <v>43</v>
      </c>
      <c r="K269" s="28">
        <v>1</v>
      </c>
      <c r="N269" t="e">
        <v>#REF!</v>
      </c>
      <c r="O269" t="str">
        <f t="shared" si="4"/>
        <v>Jacques Da Costa</v>
      </c>
      <c r="P269" s="18">
        <v>9</v>
      </c>
    </row>
    <row r="270" spans="1:16" x14ac:dyDescent="0.45">
      <c r="A270" s="37">
        <v>269</v>
      </c>
      <c r="B270" s="37" t="s">
        <v>1460</v>
      </c>
      <c r="C270" s="37" t="s">
        <v>1329</v>
      </c>
      <c r="D270" s="12" t="s">
        <v>818</v>
      </c>
      <c r="E270" s="12" t="s">
        <v>819</v>
      </c>
      <c r="F270" s="12">
        <v>1</v>
      </c>
      <c r="G270" s="12">
        <v>0</v>
      </c>
      <c r="H270" s="12">
        <v>16</v>
      </c>
      <c r="I270" s="12">
        <v>0</v>
      </c>
      <c r="J270" s="12" t="s">
        <v>43</v>
      </c>
      <c r="K270" s="28" t="s">
        <v>478</v>
      </c>
      <c r="N270" t="e">
        <v>#REF!</v>
      </c>
      <c r="O270" t="str">
        <f t="shared" si="4"/>
        <v>Étienne Dias</v>
      </c>
      <c r="P270" s="18">
        <v>6</v>
      </c>
    </row>
    <row r="271" spans="1:16" x14ac:dyDescent="0.45">
      <c r="A271" s="37">
        <v>270</v>
      </c>
      <c r="B271" s="37" t="s">
        <v>1221</v>
      </c>
      <c r="C271" s="37" t="s">
        <v>1490</v>
      </c>
      <c r="D271" s="12" t="s">
        <v>821</v>
      </c>
      <c r="E271" s="12" t="s">
        <v>822</v>
      </c>
      <c r="F271" s="12">
        <v>1</v>
      </c>
      <c r="G271" s="12">
        <v>0</v>
      </c>
      <c r="H271" s="12">
        <v>32</v>
      </c>
      <c r="I271" s="12">
        <v>0</v>
      </c>
      <c r="J271" s="12" t="s">
        <v>43</v>
      </c>
      <c r="K271" s="28" t="s">
        <v>478</v>
      </c>
      <c r="N271" t="e">
        <v>#REF!</v>
      </c>
      <c r="O271" t="str">
        <f t="shared" si="4"/>
        <v>Sophie Meunier</v>
      </c>
      <c r="P271" s="18">
        <v>6</v>
      </c>
    </row>
    <row r="272" spans="1:16" x14ac:dyDescent="0.45">
      <c r="A272" s="37">
        <v>271</v>
      </c>
      <c r="B272" s="37" t="s">
        <v>1214</v>
      </c>
      <c r="C272" s="37" t="s">
        <v>1432</v>
      </c>
      <c r="D272" s="12" t="s">
        <v>823</v>
      </c>
      <c r="E272" s="12" t="s">
        <v>824</v>
      </c>
      <c r="F272" s="12">
        <v>1</v>
      </c>
      <c r="G272" s="12">
        <v>0</v>
      </c>
      <c r="H272" s="12">
        <v>19</v>
      </c>
      <c r="I272" s="12">
        <v>0</v>
      </c>
      <c r="J272" s="12" t="s">
        <v>43</v>
      </c>
      <c r="K272" s="28" t="s">
        <v>478</v>
      </c>
      <c r="N272" t="e">
        <v>#REF!</v>
      </c>
      <c r="O272" t="str">
        <f t="shared" si="4"/>
        <v>Cécile Boulay</v>
      </c>
      <c r="P272" s="18">
        <v>3</v>
      </c>
    </row>
    <row r="273" spans="1:16" x14ac:dyDescent="0.45">
      <c r="A273" s="37">
        <v>272</v>
      </c>
      <c r="B273" s="37" t="s">
        <v>583</v>
      </c>
      <c r="C273" s="37" t="s">
        <v>1491</v>
      </c>
      <c r="D273" s="12" t="s">
        <v>826</v>
      </c>
      <c r="E273" s="12" t="s">
        <v>827</v>
      </c>
      <c r="F273" s="12">
        <v>1</v>
      </c>
      <c r="G273" s="12">
        <v>0</v>
      </c>
      <c r="H273" s="12">
        <v>41</v>
      </c>
      <c r="I273" s="12">
        <v>0</v>
      </c>
      <c r="J273" s="12" t="s">
        <v>43</v>
      </c>
      <c r="K273" s="28" t="s">
        <v>478</v>
      </c>
      <c r="L273" s="9">
        <v>9</v>
      </c>
      <c r="N273" t="e">
        <v>#REF!</v>
      </c>
      <c r="O273" t="str">
        <f t="shared" si="4"/>
        <v>Pierre Dos Santos</v>
      </c>
      <c r="P273" s="18">
        <v>9</v>
      </c>
    </row>
    <row r="274" spans="1:16" x14ac:dyDescent="0.45">
      <c r="A274" s="37">
        <v>273</v>
      </c>
      <c r="B274" s="37" t="s">
        <v>1333</v>
      </c>
      <c r="C274" s="37" t="s">
        <v>1143</v>
      </c>
      <c r="D274" s="12" t="s">
        <v>309</v>
      </c>
      <c r="E274" s="12" t="s">
        <v>310</v>
      </c>
      <c r="F274" s="12">
        <v>0</v>
      </c>
      <c r="G274" s="12">
        <v>1</v>
      </c>
      <c r="H274" s="12">
        <v>22</v>
      </c>
      <c r="I274" s="12">
        <v>0</v>
      </c>
      <c r="J274" s="12" t="s">
        <v>43</v>
      </c>
      <c r="K274" s="28">
        <v>1</v>
      </c>
      <c r="N274" t="e">
        <v>#REF!</v>
      </c>
      <c r="O274" t="str">
        <f t="shared" si="4"/>
        <v>Simone Robin</v>
      </c>
      <c r="P274" s="18">
        <v>5</v>
      </c>
    </row>
    <row r="275" spans="1:16" x14ac:dyDescent="0.45">
      <c r="A275" s="37">
        <v>274</v>
      </c>
      <c r="B275" s="37" t="s">
        <v>511</v>
      </c>
      <c r="C275" s="37" t="s">
        <v>1272</v>
      </c>
      <c r="D275" s="12" t="s">
        <v>828</v>
      </c>
      <c r="E275" s="12" t="s">
        <v>829</v>
      </c>
      <c r="F275" s="12">
        <v>1</v>
      </c>
      <c r="G275" s="12">
        <v>0</v>
      </c>
      <c r="H275" s="12">
        <v>26</v>
      </c>
      <c r="I275" s="12">
        <v>0</v>
      </c>
      <c r="J275" s="12" t="s">
        <v>43</v>
      </c>
      <c r="K275" s="28" t="s">
        <v>478</v>
      </c>
      <c r="N275" t="e">
        <v>#REF!</v>
      </c>
      <c r="O275" t="str">
        <f t="shared" si="4"/>
        <v>Alix Leleu</v>
      </c>
      <c r="P275" s="18">
        <v>4</v>
      </c>
    </row>
    <row r="276" spans="1:16" x14ac:dyDescent="0.45">
      <c r="A276" s="37">
        <v>275</v>
      </c>
      <c r="B276" s="37" t="s">
        <v>1136</v>
      </c>
      <c r="C276" s="37" t="s">
        <v>1492</v>
      </c>
      <c r="D276" s="12" t="s">
        <v>830</v>
      </c>
      <c r="E276" s="12" t="s">
        <v>43</v>
      </c>
      <c r="F276" s="12">
        <v>1</v>
      </c>
      <c r="G276" s="12">
        <v>0</v>
      </c>
      <c r="H276" s="12">
        <v>13</v>
      </c>
      <c r="I276" s="12">
        <v>0</v>
      </c>
      <c r="J276" s="12" t="s">
        <v>43</v>
      </c>
      <c r="K276" s="28" t="s">
        <v>478</v>
      </c>
      <c r="N276" t="e">
        <v>#REF!</v>
      </c>
      <c r="O276" t="str">
        <f t="shared" si="4"/>
        <v>Caroline Collet</v>
      </c>
      <c r="P276" s="18">
        <v>4</v>
      </c>
    </row>
    <row r="277" spans="1:16" x14ac:dyDescent="0.45">
      <c r="A277" s="37">
        <v>276</v>
      </c>
      <c r="B277" s="37" t="s">
        <v>1444</v>
      </c>
      <c r="C277" s="37" t="s">
        <v>1478</v>
      </c>
      <c r="D277" s="12" t="s">
        <v>831</v>
      </c>
      <c r="E277" s="12" t="s">
        <v>832</v>
      </c>
      <c r="F277" s="12">
        <v>1</v>
      </c>
      <c r="G277" s="12">
        <v>0</v>
      </c>
      <c r="H277" s="12">
        <v>9</v>
      </c>
      <c r="I277" s="12">
        <v>0</v>
      </c>
      <c r="J277" s="12" t="s">
        <v>43</v>
      </c>
      <c r="K277" s="28" t="s">
        <v>478</v>
      </c>
      <c r="N277" t="e">
        <v>#REF!</v>
      </c>
      <c r="O277" t="str">
        <f t="shared" si="4"/>
        <v>Maryse Sauvage</v>
      </c>
      <c r="P277" s="18">
        <v>1</v>
      </c>
    </row>
    <row r="278" spans="1:16" x14ac:dyDescent="0.45">
      <c r="A278" s="37">
        <v>277</v>
      </c>
      <c r="B278" s="37" t="s">
        <v>1457</v>
      </c>
      <c r="C278" s="37" t="s">
        <v>1493</v>
      </c>
      <c r="D278" s="12" t="s">
        <v>833</v>
      </c>
      <c r="E278" s="12" t="s">
        <v>834</v>
      </c>
      <c r="F278" s="12">
        <v>1</v>
      </c>
      <c r="G278" s="12">
        <v>0</v>
      </c>
      <c r="H278" s="12">
        <v>31</v>
      </c>
      <c r="I278" s="12">
        <v>0</v>
      </c>
      <c r="J278" s="12" t="s">
        <v>43</v>
      </c>
      <c r="K278" s="28" t="s">
        <v>478</v>
      </c>
      <c r="N278" t="e">
        <v>#REF!</v>
      </c>
      <c r="O278" t="str">
        <f t="shared" si="4"/>
        <v>Jacqueline Lamy</v>
      </c>
      <c r="P278" s="18">
        <v>6</v>
      </c>
    </row>
    <row r="279" spans="1:16" x14ac:dyDescent="0.45">
      <c r="A279" s="37">
        <v>278</v>
      </c>
      <c r="B279" s="37" t="s">
        <v>1494</v>
      </c>
      <c r="C279" s="37" t="s">
        <v>1495</v>
      </c>
      <c r="D279" s="12" t="s">
        <v>835</v>
      </c>
      <c r="E279" s="12" t="s">
        <v>836</v>
      </c>
      <c r="F279" s="12">
        <v>1</v>
      </c>
      <c r="G279" s="12">
        <v>0</v>
      </c>
      <c r="H279" s="12">
        <v>23</v>
      </c>
      <c r="I279" s="12">
        <v>0</v>
      </c>
      <c r="J279" s="12" t="s">
        <v>43</v>
      </c>
      <c r="K279" s="28" t="s">
        <v>478</v>
      </c>
      <c r="N279" t="e">
        <v>#REF!</v>
      </c>
      <c r="O279" t="str">
        <f t="shared" si="4"/>
        <v>Édouard Techer</v>
      </c>
      <c r="P279" s="18">
        <v>5</v>
      </c>
    </row>
    <row r="280" spans="1:16" x14ac:dyDescent="0.45">
      <c r="A280" s="37">
        <v>279</v>
      </c>
      <c r="B280" s="37" t="s">
        <v>1343</v>
      </c>
      <c r="C280" s="37" t="s">
        <v>1398</v>
      </c>
      <c r="D280" s="12" t="s">
        <v>837</v>
      </c>
      <c r="E280" s="12" t="s">
        <v>838</v>
      </c>
      <c r="F280" s="12">
        <v>1</v>
      </c>
      <c r="G280" s="12">
        <v>0</v>
      </c>
      <c r="H280" s="12">
        <v>15</v>
      </c>
      <c r="I280" s="12">
        <v>0</v>
      </c>
      <c r="J280" s="12" t="s">
        <v>43</v>
      </c>
      <c r="K280" s="28" t="s">
        <v>478</v>
      </c>
      <c r="N280" t="e">
        <v>#REF!</v>
      </c>
      <c r="O280" t="str">
        <f t="shared" si="4"/>
        <v>Véronique Rousseau</v>
      </c>
      <c r="P280" s="18">
        <v>2</v>
      </c>
    </row>
    <row r="281" spans="1:16" x14ac:dyDescent="0.45">
      <c r="A281" s="37">
        <v>280</v>
      </c>
      <c r="B281" s="37" t="s">
        <v>1214</v>
      </c>
      <c r="C281" s="37" t="s">
        <v>1496</v>
      </c>
      <c r="D281" s="12" t="s">
        <v>125</v>
      </c>
      <c r="E281" s="12" t="s">
        <v>126</v>
      </c>
      <c r="F281" s="12">
        <v>0</v>
      </c>
      <c r="G281" s="12">
        <v>0</v>
      </c>
      <c r="H281" s="12"/>
      <c r="I281" s="12">
        <v>1</v>
      </c>
      <c r="J281" s="12" t="s">
        <v>127</v>
      </c>
      <c r="K281" s="28">
        <v>1</v>
      </c>
      <c r="L281" s="9">
        <v>1</v>
      </c>
      <c r="N281" t="e">
        <v>#REF!</v>
      </c>
      <c r="O281" t="str">
        <f t="shared" si="4"/>
        <v>Cécile Jacob</v>
      </c>
      <c r="P281" s="18">
        <v>1</v>
      </c>
    </row>
    <row r="282" spans="1:16" x14ac:dyDescent="0.45">
      <c r="A282" s="37">
        <v>281</v>
      </c>
      <c r="B282" s="37" t="s">
        <v>1451</v>
      </c>
      <c r="C282" s="37" t="s">
        <v>1416</v>
      </c>
      <c r="D282" s="12" t="s">
        <v>839</v>
      </c>
      <c r="E282" s="12" t="s">
        <v>840</v>
      </c>
      <c r="F282" s="12">
        <v>1</v>
      </c>
      <c r="G282" s="12">
        <v>0</v>
      </c>
      <c r="H282" s="12">
        <v>31</v>
      </c>
      <c r="I282" s="12">
        <v>0</v>
      </c>
      <c r="J282" s="12" t="s">
        <v>43</v>
      </c>
      <c r="K282" s="28" t="s">
        <v>478</v>
      </c>
      <c r="N282" t="e">
        <v>#REF!</v>
      </c>
      <c r="O282" t="str">
        <f t="shared" si="4"/>
        <v>Monique Coste</v>
      </c>
      <c r="P282" s="18">
        <v>6</v>
      </c>
    </row>
    <row r="283" spans="1:16" x14ac:dyDescent="0.45">
      <c r="A283" s="37">
        <v>282</v>
      </c>
      <c r="B283" s="37" t="s">
        <v>466</v>
      </c>
      <c r="C283" s="37" t="s">
        <v>1404</v>
      </c>
      <c r="D283" s="12" t="s">
        <v>841</v>
      </c>
      <c r="E283" s="12" t="s">
        <v>842</v>
      </c>
      <c r="F283" s="12">
        <v>1</v>
      </c>
      <c r="G283" s="12">
        <v>0</v>
      </c>
      <c r="H283" s="12">
        <v>11</v>
      </c>
      <c r="I283" s="12">
        <v>0</v>
      </c>
      <c r="J283" s="12" t="s">
        <v>43</v>
      </c>
      <c r="K283" s="28" t="s">
        <v>487</v>
      </c>
      <c r="N283" t="e">
        <v>#REF!</v>
      </c>
      <c r="O283" t="str">
        <f t="shared" si="4"/>
        <v>Thibaut Poirier</v>
      </c>
      <c r="P283" s="18">
        <v>4</v>
      </c>
    </row>
    <row r="284" spans="1:16" x14ac:dyDescent="0.45">
      <c r="A284" s="37">
        <v>283</v>
      </c>
      <c r="B284" s="37" t="s">
        <v>1497</v>
      </c>
      <c r="C284" s="37" t="s">
        <v>1498</v>
      </c>
      <c r="D284" s="12" t="s">
        <v>843</v>
      </c>
      <c r="E284" s="12" t="s">
        <v>844</v>
      </c>
      <c r="F284" s="12">
        <v>1</v>
      </c>
      <c r="G284" s="12">
        <v>0</v>
      </c>
      <c r="H284" s="12">
        <v>17</v>
      </c>
      <c r="I284" s="12">
        <v>0</v>
      </c>
      <c r="J284" s="12" t="s">
        <v>43</v>
      </c>
      <c r="K284" s="28" t="s">
        <v>478</v>
      </c>
      <c r="N284" t="e">
        <v>#REF!</v>
      </c>
      <c r="O284" t="str">
        <f t="shared" si="4"/>
        <v>Jeannine Laporte</v>
      </c>
      <c r="P284" s="18">
        <v>3</v>
      </c>
    </row>
    <row r="285" spans="1:16" x14ac:dyDescent="0.45">
      <c r="A285" s="37">
        <v>284</v>
      </c>
      <c r="B285" s="37" t="s">
        <v>1364</v>
      </c>
      <c r="C285" s="37" t="s">
        <v>1245</v>
      </c>
      <c r="D285" s="12" t="s">
        <v>845</v>
      </c>
      <c r="E285" s="12" t="s">
        <v>846</v>
      </c>
      <c r="F285" s="12">
        <v>1</v>
      </c>
      <c r="G285" s="12">
        <v>0</v>
      </c>
      <c r="H285" s="12">
        <v>12</v>
      </c>
      <c r="I285" s="12">
        <v>0</v>
      </c>
      <c r="J285" s="12" t="s">
        <v>43</v>
      </c>
      <c r="K285" s="28" t="s">
        <v>478</v>
      </c>
      <c r="N285" t="e">
        <v>#REF!</v>
      </c>
      <c r="O285" t="str">
        <f t="shared" si="4"/>
        <v>Alexandrie Gimenez</v>
      </c>
      <c r="P285" s="18">
        <v>1</v>
      </c>
    </row>
    <row r="286" spans="1:16" x14ac:dyDescent="0.45">
      <c r="A286" s="37">
        <v>285</v>
      </c>
      <c r="B286" s="37" t="s">
        <v>1460</v>
      </c>
      <c r="C286" s="37" t="s">
        <v>1473</v>
      </c>
      <c r="D286" s="12" t="s">
        <v>847</v>
      </c>
      <c r="E286" s="12" t="s">
        <v>848</v>
      </c>
      <c r="F286" s="12">
        <v>1</v>
      </c>
      <c r="G286" s="12">
        <v>0</v>
      </c>
      <c r="H286" s="12">
        <v>39</v>
      </c>
      <c r="I286" s="12">
        <v>0</v>
      </c>
      <c r="J286" s="12" t="s">
        <v>43</v>
      </c>
      <c r="K286" s="28" t="s">
        <v>478</v>
      </c>
      <c r="N286" t="e">
        <v>#REF!</v>
      </c>
      <c r="O286" t="str">
        <f t="shared" si="4"/>
        <v>Étienne Renard</v>
      </c>
      <c r="P286" s="18">
        <v>3</v>
      </c>
    </row>
    <row r="287" spans="1:16" x14ac:dyDescent="0.45">
      <c r="A287" s="37">
        <v>286</v>
      </c>
      <c r="B287" s="37" t="s">
        <v>742</v>
      </c>
      <c r="C287" s="37" t="s">
        <v>1274</v>
      </c>
      <c r="D287" s="12" t="s">
        <v>849</v>
      </c>
      <c r="E287" s="12" t="s">
        <v>850</v>
      </c>
      <c r="F287" s="12">
        <v>1</v>
      </c>
      <c r="G287" s="12">
        <v>0</v>
      </c>
      <c r="H287" s="12">
        <v>28</v>
      </c>
      <c r="I287" s="12">
        <v>0</v>
      </c>
      <c r="J287" s="12" t="s">
        <v>43</v>
      </c>
      <c r="K287" s="28" t="s">
        <v>487</v>
      </c>
      <c r="N287" t="e">
        <v>#REF!</v>
      </c>
      <c r="O287" t="str">
        <f t="shared" si="4"/>
        <v>Lucy Maillard</v>
      </c>
      <c r="P287" s="18">
        <v>7</v>
      </c>
    </row>
    <row r="288" spans="1:16" x14ac:dyDescent="0.45">
      <c r="A288" s="37">
        <v>287</v>
      </c>
      <c r="B288" s="37" t="s">
        <v>1241</v>
      </c>
      <c r="C288" s="37" t="s">
        <v>1499</v>
      </c>
      <c r="D288" s="12" t="s">
        <v>851</v>
      </c>
      <c r="E288" s="12" t="s">
        <v>852</v>
      </c>
      <c r="F288" s="12">
        <v>1</v>
      </c>
      <c r="G288" s="12">
        <v>0</v>
      </c>
      <c r="H288" s="12">
        <v>38</v>
      </c>
      <c r="I288" s="12">
        <v>0</v>
      </c>
      <c r="J288" s="12" t="s">
        <v>43</v>
      </c>
      <c r="K288" s="28" t="s">
        <v>478</v>
      </c>
      <c r="N288" t="e">
        <v>#REF!</v>
      </c>
      <c r="O288" t="str">
        <f t="shared" si="4"/>
        <v>Clémence Vaillant</v>
      </c>
      <c r="P288" s="18">
        <v>4</v>
      </c>
    </row>
    <row r="289" spans="1:16" x14ac:dyDescent="0.45">
      <c r="A289" s="37">
        <v>288</v>
      </c>
      <c r="B289" s="37" t="s">
        <v>1500</v>
      </c>
      <c r="C289" s="37" t="s">
        <v>1224</v>
      </c>
      <c r="D289" s="12" t="s">
        <v>311</v>
      </c>
      <c r="E289" s="12" t="s">
        <v>312</v>
      </c>
      <c r="F289" s="12">
        <v>0</v>
      </c>
      <c r="G289" s="12">
        <v>1</v>
      </c>
      <c r="H289" s="12">
        <v>42</v>
      </c>
      <c r="I289" s="12">
        <v>0</v>
      </c>
      <c r="J289" s="12" t="s">
        <v>43</v>
      </c>
      <c r="K289" s="28">
        <v>1</v>
      </c>
      <c r="L289" s="9">
        <v>9</v>
      </c>
      <c r="N289" t="e">
        <v>#REF!</v>
      </c>
      <c r="O289" t="str">
        <f t="shared" si="4"/>
        <v>Christine Pires</v>
      </c>
      <c r="P289" s="18">
        <v>9</v>
      </c>
    </row>
    <row r="290" spans="1:16" x14ac:dyDescent="0.45">
      <c r="A290" s="37">
        <v>289</v>
      </c>
      <c r="B290" s="37" t="s">
        <v>1363</v>
      </c>
      <c r="C290" s="37" t="s">
        <v>1348</v>
      </c>
      <c r="D290" s="12" t="s">
        <v>313</v>
      </c>
      <c r="E290" s="12" t="s">
        <v>314</v>
      </c>
      <c r="F290" s="12">
        <v>0</v>
      </c>
      <c r="G290" s="12">
        <v>1</v>
      </c>
      <c r="H290" s="12">
        <v>39</v>
      </c>
      <c r="I290" s="12">
        <v>0</v>
      </c>
      <c r="J290" s="12" t="s">
        <v>43</v>
      </c>
      <c r="K290" s="28">
        <v>1</v>
      </c>
      <c r="N290" t="e">
        <v>#REF!</v>
      </c>
      <c r="O290" t="str">
        <f t="shared" ref="O290:O353" si="5">_xlfn.CONCAT(B290, " ", C290)</f>
        <v>François Perrot</v>
      </c>
      <c r="P290" s="18">
        <v>3</v>
      </c>
    </row>
    <row r="291" spans="1:16" x14ac:dyDescent="0.45">
      <c r="A291" s="37">
        <v>290</v>
      </c>
      <c r="B291" s="37" t="s">
        <v>1460</v>
      </c>
      <c r="C291" s="37" t="s">
        <v>1461</v>
      </c>
      <c r="D291" s="12" t="s">
        <v>315</v>
      </c>
      <c r="E291" s="12" t="s">
        <v>316</v>
      </c>
      <c r="F291" s="12">
        <v>0</v>
      </c>
      <c r="G291" s="12">
        <v>1</v>
      </c>
      <c r="H291" s="12">
        <v>43</v>
      </c>
      <c r="I291" s="12">
        <v>0</v>
      </c>
      <c r="J291" s="12" t="s">
        <v>43</v>
      </c>
      <c r="K291" s="28">
        <v>1</v>
      </c>
      <c r="L291" s="9">
        <v>9</v>
      </c>
      <c r="N291" t="e">
        <v>#REF!</v>
      </c>
      <c r="O291" t="str">
        <f t="shared" si="5"/>
        <v>Étienne Hardy</v>
      </c>
      <c r="P291" s="18">
        <v>9</v>
      </c>
    </row>
    <row r="292" spans="1:16" x14ac:dyDescent="0.45">
      <c r="A292" s="37">
        <v>291</v>
      </c>
      <c r="B292" s="37" t="s">
        <v>1254</v>
      </c>
      <c r="C292" s="37" t="s">
        <v>1501</v>
      </c>
      <c r="D292" s="12" t="s">
        <v>853</v>
      </c>
      <c r="E292" s="12" t="s">
        <v>854</v>
      </c>
      <c r="F292" s="12">
        <v>1</v>
      </c>
      <c r="G292" s="12">
        <v>0</v>
      </c>
      <c r="H292" s="12">
        <v>42</v>
      </c>
      <c r="I292" s="12">
        <v>0</v>
      </c>
      <c r="J292" s="12" t="s">
        <v>43</v>
      </c>
      <c r="K292" s="28" t="s">
        <v>478</v>
      </c>
      <c r="L292" s="9">
        <v>9</v>
      </c>
      <c r="N292" t="e">
        <v>#REF!</v>
      </c>
      <c r="O292" t="str">
        <f t="shared" si="5"/>
        <v>Gilbert Regnier</v>
      </c>
      <c r="P292" s="18">
        <v>9</v>
      </c>
    </row>
    <row r="293" spans="1:16" x14ac:dyDescent="0.45">
      <c r="A293" s="37">
        <v>292</v>
      </c>
      <c r="B293" s="37" t="s">
        <v>1454</v>
      </c>
      <c r="C293" s="37" t="s">
        <v>1496</v>
      </c>
      <c r="D293" s="12" t="s">
        <v>855</v>
      </c>
      <c r="E293" s="12" t="s">
        <v>856</v>
      </c>
      <c r="F293" s="12">
        <v>1</v>
      </c>
      <c r="G293" s="12">
        <v>0</v>
      </c>
      <c r="H293" s="12">
        <v>10</v>
      </c>
      <c r="I293" s="12">
        <v>0</v>
      </c>
      <c r="J293" s="12" t="s">
        <v>43</v>
      </c>
      <c r="K293" s="28" t="s">
        <v>487</v>
      </c>
      <c r="N293" t="e">
        <v>#REF!</v>
      </c>
      <c r="O293" t="str">
        <f t="shared" si="5"/>
        <v>Andrée Jacob</v>
      </c>
      <c r="P293" s="18">
        <v>2</v>
      </c>
    </row>
    <row r="294" spans="1:16" x14ac:dyDescent="0.45">
      <c r="A294" s="37">
        <v>293</v>
      </c>
      <c r="B294" s="37" t="s">
        <v>1396</v>
      </c>
      <c r="C294" s="37" t="s">
        <v>1212</v>
      </c>
      <c r="D294" s="12" t="s">
        <v>317</v>
      </c>
      <c r="E294" s="12" t="s">
        <v>318</v>
      </c>
      <c r="F294" s="12">
        <v>0</v>
      </c>
      <c r="G294" s="12">
        <v>1</v>
      </c>
      <c r="H294" s="12">
        <v>38</v>
      </c>
      <c r="I294" s="12">
        <v>0</v>
      </c>
      <c r="J294" s="12" t="s">
        <v>43</v>
      </c>
      <c r="K294" s="28">
        <v>1</v>
      </c>
      <c r="N294" t="e">
        <v>#REF!</v>
      </c>
      <c r="O294" t="str">
        <f t="shared" si="5"/>
        <v>Olivie Barbier</v>
      </c>
      <c r="P294" s="18">
        <v>4</v>
      </c>
    </row>
    <row r="295" spans="1:16" x14ac:dyDescent="0.45">
      <c r="A295" s="37">
        <v>294</v>
      </c>
      <c r="B295" s="37" t="s">
        <v>1502</v>
      </c>
      <c r="C295" s="37" t="s">
        <v>1297</v>
      </c>
      <c r="D295" s="12" t="s">
        <v>320</v>
      </c>
      <c r="E295" s="12" t="s">
        <v>321</v>
      </c>
      <c r="F295" s="12">
        <v>0</v>
      </c>
      <c r="G295" s="12">
        <v>1</v>
      </c>
      <c r="H295" s="12">
        <v>41</v>
      </c>
      <c r="I295" s="12">
        <v>0</v>
      </c>
      <c r="J295" s="12" t="s">
        <v>43</v>
      </c>
      <c r="K295" s="28">
        <v>1</v>
      </c>
      <c r="L295" s="9">
        <v>9</v>
      </c>
      <c r="N295" t="e">
        <v>#REF!</v>
      </c>
      <c r="O295" t="str">
        <f t="shared" si="5"/>
        <v>Catherine Morel</v>
      </c>
      <c r="P295" s="18">
        <v>9</v>
      </c>
    </row>
    <row r="296" spans="1:16" x14ac:dyDescent="0.45">
      <c r="A296" s="37">
        <v>295</v>
      </c>
      <c r="B296" s="37" t="s">
        <v>1256</v>
      </c>
      <c r="C296" s="37" t="s">
        <v>1503</v>
      </c>
      <c r="D296" s="12" t="s">
        <v>857</v>
      </c>
      <c r="E296" s="12" t="s">
        <v>858</v>
      </c>
      <c r="F296" s="12">
        <v>1</v>
      </c>
      <c r="G296" s="12">
        <v>0</v>
      </c>
      <c r="H296" s="12">
        <v>39</v>
      </c>
      <c r="I296" s="12">
        <v>0</v>
      </c>
      <c r="J296" s="12" t="s">
        <v>43</v>
      </c>
      <c r="K296" s="28" t="s">
        <v>478</v>
      </c>
      <c r="N296" t="e">
        <v>#REF!</v>
      </c>
      <c r="O296" t="str">
        <f t="shared" si="5"/>
        <v>Raymond Peltier</v>
      </c>
      <c r="P296" s="18">
        <v>3</v>
      </c>
    </row>
    <row r="297" spans="1:16" x14ac:dyDescent="0.45">
      <c r="A297" s="37">
        <v>296</v>
      </c>
      <c r="B297" s="37" t="s">
        <v>1150</v>
      </c>
      <c r="C297" s="37" t="s">
        <v>1504</v>
      </c>
      <c r="D297" s="12" t="s">
        <v>859</v>
      </c>
      <c r="E297" s="12" t="s">
        <v>860</v>
      </c>
      <c r="F297" s="12">
        <v>1</v>
      </c>
      <c r="G297" s="12">
        <v>0</v>
      </c>
      <c r="H297" s="12">
        <v>11</v>
      </c>
      <c r="I297" s="12">
        <v>0</v>
      </c>
      <c r="J297" s="12" t="s">
        <v>43</v>
      </c>
      <c r="K297" s="28" t="s">
        <v>487</v>
      </c>
      <c r="N297" t="e">
        <v>#REF!</v>
      </c>
      <c r="O297" t="str">
        <f t="shared" si="5"/>
        <v>Théophile Ribeiro</v>
      </c>
      <c r="P297" s="18">
        <v>4</v>
      </c>
    </row>
    <row r="298" spans="1:16" x14ac:dyDescent="0.45">
      <c r="A298" s="37">
        <v>297</v>
      </c>
      <c r="B298" s="37" t="s">
        <v>221</v>
      </c>
      <c r="C298" s="37" t="s">
        <v>1250</v>
      </c>
      <c r="D298" s="12" t="s">
        <v>861</v>
      </c>
      <c r="E298" s="12" t="s">
        <v>862</v>
      </c>
      <c r="F298" s="12">
        <v>1</v>
      </c>
      <c r="G298" s="12">
        <v>0</v>
      </c>
      <c r="H298" s="12">
        <v>31</v>
      </c>
      <c r="I298" s="12">
        <v>0</v>
      </c>
      <c r="J298" s="12" t="s">
        <v>43</v>
      </c>
      <c r="K298" s="28" t="s">
        <v>478</v>
      </c>
      <c r="N298" t="e">
        <v>#REF!</v>
      </c>
      <c r="O298" t="str">
        <f t="shared" si="5"/>
        <v>Jeanne Rolland</v>
      </c>
      <c r="P298" s="18">
        <v>6</v>
      </c>
    </row>
    <row r="299" spans="1:16" x14ac:dyDescent="0.45">
      <c r="A299" s="37">
        <v>298</v>
      </c>
      <c r="B299" s="37" t="s">
        <v>1388</v>
      </c>
      <c r="C299" s="37" t="s">
        <v>1505</v>
      </c>
      <c r="D299" s="12" t="s">
        <v>863</v>
      </c>
      <c r="E299" s="12" t="s">
        <v>864</v>
      </c>
      <c r="F299" s="12">
        <v>1</v>
      </c>
      <c r="G299" s="12">
        <v>0</v>
      </c>
      <c r="H299" s="12">
        <v>14</v>
      </c>
      <c r="I299" s="12">
        <v>0</v>
      </c>
      <c r="J299" s="12" t="s">
        <v>43</v>
      </c>
      <c r="K299" s="28" t="s">
        <v>478</v>
      </c>
      <c r="N299" t="e">
        <v>#REF!</v>
      </c>
      <c r="O299" t="str">
        <f t="shared" si="5"/>
        <v>Colette Joubert</v>
      </c>
      <c r="P299" s="18">
        <v>7</v>
      </c>
    </row>
    <row r="300" spans="1:16" x14ac:dyDescent="0.45">
      <c r="A300" s="37">
        <v>299</v>
      </c>
      <c r="B300" s="37" t="s">
        <v>1379</v>
      </c>
      <c r="C300" s="37" t="s">
        <v>1506</v>
      </c>
      <c r="D300" s="12" t="s">
        <v>322</v>
      </c>
      <c r="E300" s="12" t="s">
        <v>323</v>
      </c>
      <c r="F300" s="12">
        <v>0</v>
      </c>
      <c r="G300" s="12">
        <v>1</v>
      </c>
      <c r="H300" s="12">
        <v>25</v>
      </c>
      <c r="I300" s="12">
        <v>0</v>
      </c>
      <c r="J300" s="12" t="s">
        <v>43</v>
      </c>
      <c r="K300" s="28">
        <v>1</v>
      </c>
      <c r="N300" t="e">
        <v>#REF!</v>
      </c>
      <c r="O300" t="str">
        <f t="shared" si="5"/>
        <v>Stéphanie Roche</v>
      </c>
      <c r="P300" s="18">
        <v>2</v>
      </c>
    </row>
    <row r="301" spans="1:16" x14ac:dyDescent="0.45">
      <c r="A301" s="37">
        <v>300</v>
      </c>
      <c r="B301" s="37" t="s">
        <v>402</v>
      </c>
      <c r="C301" s="37" t="s">
        <v>1365</v>
      </c>
      <c r="D301" s="12" t="s">
        <v>324</v>
      </c>
      <c r="E301" s="12" t="s">
        <v>325</v>
      </c>
      <c r="F301" s="12">
        <v>0</v>
      </c>
      <c r="G301" s="12">
        <v>1</v>
      </c>
      <c r="H301" s="12">
        <v>6</v>
      </c>
      <c r="I301" s="12">
        <v>0</v>
      </c>
      <c r="J301" s="12" t="s">
        <v>43</v>
      </c>
      <c r="K301" s="28">
        <v>1</v>
      </c>
      <c r="N301" t="e">
        <v>#REF!</v>
      </c>
      <c r="O301" t="str">
        <f t="shared" si="5"/>
        <v>Alexandre Guérin</v>
      </c>
      <c r="P301" s="18">
        <v>9</v>
      </c>
    </row>
    <row r="302" spans="1:16" x14ac:dyDescent="0.45">
      <c r="A302" s="37">
        <v>301</v>
      </c>
      <c r="B302" s="37" t="s">
        <v>1462</v>
      </c>
      <c r="C302" s="37" t="s">
        <v>1298</v>
      </c>
      <c r="D302" s="12" t="s">
        <v>128</v>
      </c>
      <c r="E302" s="12" t="s">
        <v>129</v>
      </c>
      <c r="F302" s="12">
        <v>0</v>
      </c>
      <c r="G302" s="12">
        <v>0</v>
      </c>
      <c r="H302" s="12"/>
      <c r="I302" s="12">
        <v>1</v>
      </c>
      <c r="J302" s="12" t="s">
        <v>82</v>
      </c>
      <c r="K302" s="28">
        <v>1</v>
      </c>
      <c r="L302" s="9">
        <v>9</v>
      </c>
      <c r="N302" t="e">
        <v>#REF!</v>
      </c>
      <c r="O302" t="str">
        <f t="shared" si="5"/>
        <v>Daniel Aubert</v>
      </c>
      <c r="P302" s="18">
        <v>9</v>
      </c>
    </row>
    <row r="303" spans="1:16" x14ac:dyDescent="0.45">
      <c r="A303" s="37">
        <v>302</v>
      </c>
      <c r="B303" s="37" t="s">
        <v>262</v>
      </c>
      <c r="C303" s="37" t="s">
        <v>1486</v>
      </c>
      <c r="D303" s="12" t="s">
        <v>130</v>
      </c>
      <c r="E303" s="12" t="s">
        <v>131</v>
      </c>
      <c r="F303" s="12">
        <v>0</v>
      </c>
      <c r="G303" s="12">
        <v>0</v>
      </c>
      <c r="H303" s="12"/>
      <c r="I303" s="12">
        <v>1</v>
      </c>
      <c r="J303" s="12" t="s">
        <v>106</v>
      </c>
      <c r="K303" s="28">
        <v>1</v>
      </c>
      <c r="L303" s="9">
        <v>5</v>
      </c>
      <c r="N303" t="e">
        <v>#REF!</v>
      </c>
      <c r="O303" t="str">
        <f t="shared" si="5"/>
        <v>Antoine Leroy</v>
      </c>
      <c r="P303" s="18">
        <v>5</v>
      </c>
    </row>
    <row r="304" spans="1:16" x14ac:dyDescent="0.45">
      <c r="A304" s="37">
        <v>303</v>
      </c>
      <c r="B304" s="37" t="s">
        <v>1507</v>
      </c>
      <c r="C304" s="37" t="s">
        <v>1467</v>
      </c>
      <c r="D304" s="12" t="s">
        <v>132</v>
      </c>
      <c r="E304" s="12" t="s">
        <v>133</v>
      </c>
      <c r="F304" s="12">
        <v>0</v>
      </c>
      <c r="G304" s="12">
        <v>0</v>
      </c>
      <c r="H304" s="12"/>
      <c r="I304" s="12">
        <v>1</v>
      </c>
      <c r="J304" s="12" t="s">
        <v>98</v>
      </c>
      <c r="K304" s="28">
        <v>1</v>
      </c>
      <c r="L304" s="9">
        <v>1</v>
      </c>
      <c r="N304" t="e">
        <v>#REF!</v>
      </c>
      <c r="O304" t="str">
        <f t="shared" si="5"/>
        <v>Isaac Schneider</v>
      </c>
      <c r="P304" s="18">
        <v>1</v>
      </c>
    </row>
    <row r="305" spans="1:16" x14ac:dyDescent="0.45">
      <c r="A305" s="37">
        <v>304</v>
      </c>
      <c r="B305" s="37" t="s">
        <v>759</v>
      </c>
      <c r="C305" s="37" t="s">
        <v>1450</v>
      </c>
      <c r="D305" s="12" t="s">
        <v>865</v>
      </c>
      <c r="E305" s="12" t="s">
        <v>866</v>
      </c>
      <c r="F305" s="12">
        <v>1</v>
      </c>
      <c r="G305" s="12">
        <v>0</v>
      </c>
      <c r="H305" s="12">
        <v>22</v>
      </c>
      <c r="I305" s="12">
        <v>0</v>
      </c>
      <c r="J305" s="12" t="s">
        <v>43</v>
      </c>
      <c r="K305" s="28" t="s">
        <v>478</v>
      </c>
      <c r="N305" t="e">
        <v>#REF!</v>
      </c>
      <c r="O305" t="str">
        <f t="shared" si="5"/>
        <v>Amélie Le Gall</v>
      </c>
      <c r="P305" s="18">
        <v>5</v>
      </c>
    </row>
    <row r="306" spans="1:16" x14ac:dyDescent="0.45">
      <c r="A306" s="37">
        <v>305</v>
      </c>
      <c r="B306" s="37" t="s">
        <v>1508</v>
      </c>
      <c r="C306" s="37" t="s">
        <v>1509</v>
      </c>
      <c r="D306" s="12" t="s">
        <v>867</v>
      </c>
      <c r="E306" s="12" t="s">
        <v>868</v>
      </c>
      <c r="F306" s="12">
        <v>1</v>
      </c>
      <c r="G306" s="12">
        <v>0</v>
      </c>
      <c r="H306" s="12">
        <v>36</v>
      </c>
      <c r="I306" s="12">
        <v>0</v>
      </c>
      <c r="J306" s="12" t="s">
        <v>43</v>
      </c>
      <c r="K306" s="28" t="s">
        <v>478</v>
      </c>
      <c r="N306" t="e">
        <v>#REF!</v>
      </c>
      <c r="O306" t="str">
        <f t="shared" si="5"/>
        <v>Franck Faivre</v>
      </c>
      <c r="P306" s="18">
        <v>3</v>
      </c>
    </row>
    <row r="307" spans="1:16" x14ac:dyDescent="0.45">
      <c r="A307" s="37">
        <v>306</v>
      </c>
      <c r="B307" s="37" t="s">
        <v>1316</v>
      </c>
      <c r="C307" s="37" t="s">
        <v>1510</v>
      </c>
      <c r="D307" s="12" t="s">
        <v>326</v>
      </c>
      <c r="E307" s="12" t="s">
        <v>327</v>
      </c>
      <c r="F307" s="12">
        <v>0</v>
      </c>
      <c r="G307" s="12">
        <v>1</v>
      </c>
      <c r="H307" s="12">
        <v>8</v>
      </c>
      <c r="I307" s="12">
        <v>0</v>
      </c>
      <c r="J307" s="12" t="s">
        <v>43</v>
      </c>
      <c r="K307" s="28">
        <v>1</v>
      </c>
      <c r="N307" t="e">
        <v>#REF!</v>
      </c>
      <c r="O307" t="str">
        <f t="shared" si="5"/>
        <v>Adélaïde Allard</v>
      </c>
      <c r="P307" s="18">
        <v>8</v>
      </c>
    </row>
    <row r="308" spans="1:16" x14ac:dyDescent="0.45">
      <c r="A308" s="37">
        <v>307</v>
      </c>
      <c r="B308" s="37" t="s">
        <v>1241</v>
      </c>
      <c r="C308" s="37" t="s">
        <v>1511</v>
      </c>
      <c r="D308" s="12" t="s">
        <v>328</v>
      </c>
      <c r="E308" s="12" t="s">
        <v>329</v>
      </c>
      <c r="F308" s="12">
        <v>0</v>
      </c>
      <c r="G308" s="12">
        <v>1</v>
      </c>
      <c r="H308" s="12">
        <v>18</v>
      </c>
      <c r="I308" s="12">
        <v>0</v>
      </c>
      <c r="J308" s="12" t="s">
        <v>43</v>
      </c>
      <c r="K308" s="28">
        <v>1</v>
      </c>
      <c r="N308" t="e">
        <v>#REF!</v>
      </c>
      <c r="O308" t="str">
        <f t="shared" si="5"/>
        <v>Clémence Bertin</v>
      </c>
      <c r="P308" s="18">
        <v>7</v>
      </c>
    </row>
    <row r="309" spans="1:16" x14ac:dyDescent="0.45">
      <c r="A309" s="37">
        <v>308</v>
      </c>
      <c r="B309" s="37" t="s">
        <v>1232</v>
      </c>
      <c r="C309" s="37" t="s">
        <v>1252</v>
      </c>
      <c r="D309" s="12" t="s">
        <v>330</v>
      </c>
      <c r="E309" s="12" t="s">
        <v>331</v>
      </c>
      <c r="F309" s="12">
        <v>0</v>
      </c>
      <c r="G309" s="12">
        <v>1</v>
      </c>
      <c r="H309" s="12">
        <v>36</v>
      </c>
      <c r="I309" s="12">
        <v>0</v>
      </c>
      <c r="J309" s="12" t="s">
        <v>43</v>
      </c>
      <c r="K309" s="28">
        <v>1</v>
      </c>
      <c r="N309" t="e">
        <v>#REF!</v>
      </c>
      <c r="O309" t="str">
        <f t="shared" si="5"/>
        <v>Sébastien Salmon</v>
      </c>
      <c r="P309" s="18">
        <v>3</v>
      </c>
    </row>
    <row r="310" spans="1:16" x14ac:dyDescent="0.45">
      <c r="A310" s="37">
        <v>309</v>
      </c>
      <c r="B310" s="37" t="s">
        <v>1512</v>
      </c>
      <c r="C310" s="37" t="s">
        <v>881</v>
      </c>
      <c r="D310" s="12" t="s">
        <v>869</v>
      </c>
      <c r="E310" s="12" t="s">
        <v>870</v>
      </c>
      <c r="F310" s="12">
        <v>1</v>
      </c>
      <c r="G310" s="12">
        <v>0</v>
      </c>
      <c r="H310" s="12">
        <v>33</v>
      </c>
      <c r="I310" s="12">
        <v>0</v>
      </c>
      <c r="J310" s="12" t="s">
        <v>43</v>
      </c>
      <c r="K310" s="28" t="s">
        <v>478</v>
      </c>
      <c r="N310" t="e">
        <v>#REF!</v>
      </c>
      <c r="O310" t="str">
        <f t="shared" si="5"/>
        <v>Frédérique Marie</v>
      </c>
      <c r="P310" s="18">
        <v>8</v>
      </c>
    </row>
    <row r="311" spans="1:16" x14ac:dyDescent="0.45">
      <c r="A311" s="37">
        <v>310</v>
      </c>
      <c r="B311" s="37" t="s">
        <v>1469</v>
      </c>
      <c r="C311" s="37" t="s">
        <v>1452</v>
      </c>
      <c r="D311" s="12" t="s">
        <v>332</v>
      </c>
      <c r="E311" s="12" t="s">
        <v>333</v>
      </c>
      <c r="F311" s="12">
        <v>0</v>
      </c>
      <c r="G311" s="12">
        <v>1</v>
      </c>
      <c r="H311" s="12">
        <v>27</v>
      </c>
      <c r="I311" s="12">
        <v>0</v>
      </c>
      <c r="J311" s="12" t="s">
        <v>43</v>
      </c>
      <c r="K311" s="28">
        <v>1</v>
      </c>
      <c r="N311" t="e">
        <v>#REF!</v>
      </c>
      <c r="O311" t="str">
        <f t="shared" si="5"/>
        <v>Michelle Huet</v>
      </c>
      <c r="P311" s="18">
        <v>2</v>
      </c>
    </row>
    <row r="312" spans="1:16" x14ac:dyDescent="0.45">
      <c r="A312" s="37">
        <v>311</v>
      </c>
      <c r="B312" s="37" t="s">
        <v>1472</v>
      </c>
      <c r="C312" s="37" t="s">
        <v>1222</v>
      </c>
      <c r="D312" s="12" t="s">
        <v>871</v>
      </c>
      <c r="E312" s="12" t="s">
        <v>872</v>
      </c>
      <c r="F312" s="12">
        <v>1</v>
      </c>
      <c r="G312" s="12">
        <v>0</v>
      </c>
      <c r="H312" s="12">
        <v>14</v>
      </c>
      <c r="I312" s="12">
        <v>0</v>
      </c>
      <c r="J312" s="12" t="s">
        <v>43</v>
      </c>
      <c r="K312" s="28" t="s">
        <v>478</v>
      </c>
      <c r="N312" t="e">
        <v>#REF!</v>
      </c>
      <c r="O312" t="str">
        <f t="shared" si="5"/>
        <v>Luce Bernier</v>
      </c>
      <c r="P312" s="18">
        <v>7</v>
      </c>
    </row>
    <row r="313" spans="1:16" x14ac:dyDescent="0.45">
      <c r="A313" s="37">
        <v>312</v>
      </c>
      <c r="B313" s="37" t="s">
        <v>1226</v>
      </c>
      <c r="C313" s="37" t="s">
        <v>1336</v>
      </c>
      <c r="D313" s="12" t="s">
        <v>873</v>
      </c>
      <c r="E313" s="12" t="s">
        <v>874</v>
      </c>
      <c r="F313" s="12">
        <v>1</v>
      </c>
      <c r="G313" s="12">
        <v>0</v>
      </c>
      <c r="H313" s="12">
        <v>18</v>
      </c>
      <c r="I313" s="12">
        <v>0</v>
      </c>
      <c r="J313" s="12" t="s">
        <v>43</v>
      </c>
      <c r="K313" s="28" t="s">
        <v>487</v>
      </c>
      <c r="N313" t="e">
        <v>#REF!</v>
      </c>
      <c r="O313" t="str">
        <f t="shared" si="5"/>
        <v>Élise Monnier</v>
      </c>
      <c r="P313" s="18">
        <v>7</v>
      </c>
    </row>
    <row r="314" spans="1:16" x14ac:dyDescent="0.45">
      <c r="A314" s="37">
        <v>313</v>
      </c>
      <c r="B314" s="37" t="s">
        <v>1472</v>
      </c>
      <c r="C314" s="37" t="s">
        <v>1311</v>
      </c>
      <c r="D314" s="12" t="s">
        <v>875</v>
      </c>
      <c r="E314" s="12" t="s">
        <v>876</v>
      </c>
      <c r="F314" s="12">
        <v>1</v>
      </c>
      <c r="G314" s="12">
        <v>0</v>
      </c>
      <c r="H314" s="12">
        <v>27</v>
      </c>
      <c r="I314" s="12">
        <v>0</v>
      </c>
      <c r="J314" s="12" t="s">
        <v>43</v>
      </c>
      <c r="K314" s="28" t="s">
        <v>487</v>
      </c>
      <c r="N314" t="e">
        <v>#REF!</v>
      </c>
      <c r="O314" t="str">
        <f t="shared" si="5"/>
        <v>Luce Baron</v>
      </c>
      <c r="P314" s="18">
        <v>2</v>
      </c>
    </row>
    <row r="315" spans="1:16" x14ac:dyDescent="0.45">
      <c r="A315" s="37">
        <v>314</v>
      </c>
      <c r="B315" s="37" t="s">
        <v>1373</v>
      </c>
      <c r="C315" s="37" t="s">
        <v>679</v>
      </c>
      <c r="D315" s="12" t="s">
        <v>334</v>
      </c>
      <c r="E315" s="12" t="s">
        <v>335</v>
      </c>
      <c r="F315" s="12">
        <v>0</v>
      </c>
      <c r="G315" s="12">
        <v>1</v>
      </c>
      <c r="H315" s="12">
        <v>11</v>
      </c>
      <c r="I315" s="12">
        <v>0</v>
      </c>
      <c r="J315" s="12" t="s">
        <v>43</v>
      </c>
      <c r="K315" s="28">
        <v>1</v>
      </c>
      <c r="N315" t="e">
        <v>#REF!</v>
      </c>
      <c r="O315" t="str">
        <f t="shared" si="5"/>
        <v>Alexandria Vincent</v>
      </c>
      <c r="P315" s="18">
        <v>4</v>
      </c>
    </row>
    <row r="316" spans="1:16" x14ac:dyDescent="0.45">
      <c r="A316" s="37">
        <v>315</v>
      </c>
      <c r="B316" s="37" t="s">
        <v>1350</v>
      </c>
      <c r="C316" s="37" t="s">
        <v>1513</v>
      </c>
      <c r="D316" s="12" t="s">
        <v>877</v>
      </c>
      <c r="E316" s="12" t="s">
        <v>878</v>
      </c>
      <c r="F316" s="12">
        <v>1</v>
      </c>
      <c r="G316" s="12">
        <v>0</v>
      </c>
      <c r="H316" s="12">
        <v>19</v>
      </c>
      <c r="I316" s="12">
        <v>0</v>
      </c>
      <c r="J316" s="12" t="s">
        <v>43</v>
      </c>
      <c r="K316" s="28" t="s">
        <v>487</v>
      </c>
      <c r="N316" t="e">
        <v>#REF!</v>
      </c>
      <c r="O316" t="str">
        <f t="shared" si="5"/>
        <v>Anne Pages</v>
      </c>
      <c r="P316" s="18">
        <v>3</v>
      </c>
    </row>
    <row r="317" spans="1:16" x14ac:dyDescent="0.45">
      <c r="A317" s="37">
        <v>316</v>
      </c>
      <c r="B317" s="37" t="s">
        <v>1474</v>
      </c>
      <c r="C317" s="37" t="s">
        <v>1514</v>
      </c>
      <c r="D317" s="12" t="s">
        <v>336</v>
      </c>
      <c r="E317" s="12" t="s">
        <v>337</v>
      </c>
      <c r="F317" s="12">
        <v>1</v>
      </c>
      <c r="G317" s="12">
        <v>0</v>
      </c>
      <c r="H317" s="12">
        <v>42</v>
      </c>
      <c r="I317" s="12">
        <v>0</v>
      </c>
      <c r="J317" s="12" t="s">
        <v>43</v>
      </c>
      <c r="K317" s="28">
        <v>1</v>
      </c>
      <c r="L317" s="9">
        <v>9</v>
      </c>
      <c r="N317" t="e">
        <v>#REF!</v>
      </c>
      <c r="O317" t="str">
        <f t="shared" si="5"/>
        <v>Dominique Sanchez</v>
      </c>
      <c r="P317" s="18">
        <v>9</v>
      </c>
    </row>
    <row r="318" spans="1:16" x14ac:dyDescent="0.45">
      <c r="A318" s="37">
        <v>317</v>
      </c>
      <c r="B318" s="37" t="s">
        <v>1281</v>
      </c>
      <c r="C318" s="37" t="s">
        <v>1450</v>
      </c>
      <c r="D318" s="12" t="s">
        <v>338</v>
      </c>
      <c r="E318" s="12" t="s">
        <v>339</v>
      </c>
      <c r="F318" s="12">
        <v>0</v>
      </c>
      <c r="G318" s="12">
        <v>1</v>
      </c>
      <c r="H318" s="12">
        <v>40</v>
      </c>
      <c r="I318" s="12">
        <v>0</v>
      </c>
      <c r="J318" s="12" t="s">
        <v>43</v>
      </c>
      <c r="K318" s="28">
        <v>1</v>
      </c>
      <c r="L318" s="9">
        <v>9</v>
      </c>
      <c r="N318" t="e">
        <v>#REF!</v>
      </c>
      <c r="O318" t="str">
        <f t="shared" si="5"/>
        <v>Corinne Le Gall</v>
      </c>
      <c r="P318" s="18">
        <v>9</v>
      </c>
    </row>
    <row r="319" spans="1:16" x14ac:dyDescent="0.45">
      <c r="A319" s="37">
        <v>318</v>
      </c>
      <c r="B319" s="37" t="s">
        <v>1290</v>
      </c>
      <c r="C319" s="37" t="s">
        <v>1515</v>
      </c>
      <c r="D319" s="12" t="s">
        <v>879</v>
      </c>
      <c r="E319" s="12" t="s">
        <v>880</v>
      </c>
      <c r="F319" s="12">
        <v>1</v>
      </c>
      <c r="G319" s="12">
        <v>0</v>
      </c>
      <c r="H319" s="12">
        <v>18</v>
      </c>
      <c r="I319" s="12">
        <v>0</v>
      </c>
      <c r="J319" s="12" t="s">
        <v>43</v>
      </c>
      <c r="K319" s="28" t="s">
        <v>478</v>
      </c>
      <c r="N319" t="e">
        <v>#REF!</v>
      </c>
      <c r="O319" t="str">
        <f t="shared" si="5"/>
        <v>Margaud Torres</v>
      </c>
      <c r="P319" s="18">
        <v>7</v>
      </c>
    </row>
    <row r="320" spans="1:16" x14ac:dyDescent="0.45">
      <c r="A320" s="37">
        <v>319</v>
      </c>
      <c r="B320" s="37" t="s">
        <v>1414</v>
      </c>
      <c r="C320" s="37" t="s">
        <v>1459</v>
      </c>
      <c r="D320" s="12" t="s">
        <v>882</v>
      </c>
      <c r="E320" s="12" t="s">
        <v>883</v>
      </c>
      <c r="F320" s="12">
        <v>1</v>
      </c>
      <c r="G320" s="12">
        <v>0</v>
      </c>
      <c r="H320" s="12">
        <v>24</v>
      </c>
      <c r="I320" s="12">
        <v>0</v>
      </c>
      <c r="J320" s="12" t="s">
        <v>43</v>
      </c>
      <c r="K320" s="28" t="s">
        <v>478</v>
      </c>
      <c r="N320" t="e">
        <v>#REF!</v>
      </c>
      <c r="O320" t="str">
        <f t="shared" si="5"/>
        <v>Rémy Menard</v>
      </c>
      <c r="P320" s="18">
        <v>6</v>
      </c>
    </row>
    <row r="321" spans="1:16" x14ac:dyDescent="0.45">
      <c r="A321" s="37">
        <v>320</v>
      </c>
      <c r="B321" s="37" t="s">
        <v>1350</v>
      </c>
      <c r="C321" s="37" t="s">
        <v>1374</v>
      </c>
      <c r="D321" s="12" t="s">
        <v>340</v>
      </c>
      <c r="E321" s="12" t="s">
        <v>341</v>
      </c>
      <c r="F321" s="12">
        <v>0</v>
      </c>
      <c r="G321" s="12">
        <v>1</v>
      </c>
      <c r="H321" s="12">
        <v>20</v>
      </c>
      <c r="I321" s="12">
        <v>0</v>
      </c>
      <c r="J321" s="12" t="s">
        <v>43</v>
      </c>
      <c r="K321" s="28">
        <v>1</v>
      </c>
      <c r="N321" t="e">
        <v>#REF!</v>
      </c>
      <c r="O321" t="str">
        <f t="shared" si="5"/>
        <v>Anne Rey</v>
      </c>
      <c r="P321" s="18">
        <v>8</v>
      </c>
    </row>
    <row r="322" spans="1:16" x14ac:dyDescent="0.45">
      <c r="A322" s="37">
        <v>321</v>
      </c>
      <c r="B322" s="37" t="s">
        <v>1136</v>
      </c>
      <c r="C322" s="37" t="s">
        <v>1516</v>
      </c>
      <c r="D322" s="12" t="s">
        <v>343</v>
      </c>
      <c r="E322" s="12" t="s">
        <v>344</v>
      </c>
      <c r="F322" s="12">
        <v>0</v>
      </c>
      <c r="G322" s="12">
        <v>1</v>
      </c>
      <c r="H322" s="12">
        <v>22</v>
      </c>
      <c r="I322" s="12">
        <v>0</v>
      </c>
      <c r="J322" s="12" t="s">
        <v>43</v>
      </c>
      <c r="K322" s="28">
        <v>1</v>
      </c>
      <c r="N322" t="e">
        <v>#REF!</v>
      </c>
      <c r="O322" t="str">
        <f t="shared" si="5"/>
        <v>Caroline Blanchet</v>
      </c>
      <c r="P322" s="18">
        <v>5</v>
      </c>
    </row>
    <row r="323" spans="1:16" x14ac:dyDescent="0.45">
      <c r="A323" s="37">
        <v>322</v>
      </c>
      <c r="B323" s="37" t="s">
        <v>1226</v>
      </c>
      <c r="C323" s="37" t="s">
        <v>1517</v>
      </c>
      <c r="D323" s="12" t="s">
        <v>345</v>
      </c>
      <c r="E323" s="12" t="s">
        <v>346</v>
      </c>
      <c r="F323" s="12">
        <v>0</v>
      </c>
      <c r="G323" s="12">
        <v>1</v>
      </c>
      <c r="H323" s="12">
        <v>7</v>
      </c>
      <c r="I323" s="12">
        <v>0</v>
      </c>
      <c r="J323" s="12" t="s">
        <v>43</v>
      </c>
      <c r="K323" s="28">
        <v>1</v>
      </c>
      <c r="N323" t="e">
        <v>#REF!</v>
      </c>
      <c r="O323" t="str">
        <f t="shared" si="5"/>
        <v>Élise Chevallier</v>
      </c>
      <c r="P323" s="18">
        <v>1</v>
      </c>
    </row>
    <row r="324" spans="1:16" x14ac:dyDescent="0.45">
      <c r="A324" s="37">
        <v>323</v>
      </c>
      <c r="B324" s="37" t="s">
        <v>246</v>
      </c>
      <c r="C324" s="37" t="s">
        <v>1261</v>
      </c>
      <c r="D324" s="12" t="s">
        <v>347</v>
      </c>
      <c r="E324" s="12" t="s">
        <v>348</v>
      </c>
      <c r="F324" s="12">
        <v>0</v>
      </c>
      <c r="G324" s="12">
        <v>1</v>
      </c>
      <c r="H324" s="12">
        <v>9</v>
      </c>
      <c r="I324" s="12">
        <v>0</v>
      </c>
      <c r="J324" s="12" t="s">
        <v>43</v>
      </c>
      <c r="K324" s="28">
        <v>1</v>
      </c>
      <c r="N324" t="e">
        <v>#REF!</v>
      </c>
      <c r="O324" t="str">
        <f t="shared" si="5"/>
        <v>Margot Vallée</v>
      </c>
      <c r="P324" s="18">
        <v>1</v>
      </c>
    </row>
    <row r="325" spans="1:16" x14ac:dyDescent="0.45">
      <c r="A325" s="37">
        <v>324</v>
      </c>
      <c r="B325" s="37" t="s">
        <v>1518</v>
      </c>
      <c r="C325" s="37" t="s">
        <v>1503</v>
      </c>
      <c r="D325" s="12" t="s">
        <v>349</v>
      </c>
      <c r="E325" s="12" t="s">
        <v>350</v>
      </c>
      <c r="F325" s="12">
        <v>0</v>
      </c>
      <c r="G325" s="12">
        <v>1</v>
      </c>
      <c r="H325" s="12">
        <v>26</v>
      </c>
      <c r="I325" s="12">
        <v>0</v>
      </c>
      <c r="J325" s="12" t="s">
        <v>43</v>
      </c>
      <c r="K325" s="28">
        <v>1</v>
      </c>
      <c r="N325" t="e">
        <v>#REF!</v>
      </c>
      <c r="O325" t="str">
        <f t="shared" si="5"/>
        <v>Josette Peltier</v>
      </c>
      <c r="P325" s="18">
        <v>4</v>
      </c>
    </row>
    <row r="326" spans="1:16" x14ac:dyDescent="0.45">
      <c r="A326" s="37">
        <v>325</v>
      </c>
      <c r="B326" s="37" t="s">
        <v>742</v>
      </c>
      <c r="C326" s="37" t="s">
        <v>1519</v>
      </c>
      <c r="D326" s="12" t="s">
        <v>884</v>
      </c>
      <c r="E326" s="12" t="s">
        <v>885</v>
      </c>
      <c r="F326" s="12">
        <v>1</v>
      </c>
      <c r="G326" s="12">
        <v>0</v>
      </c>
      <c r="H326" s="12">
        <v>23</v>
      </c>
      <c r="I326" s="12">
        <v>0</v>
      </c>
      <c r="J326" s="12" t="s">
        <v>43</v>
      </c>
      <c r="K326" s="28" t="s">
        <v>478</v>
      </c>
      <c r="N326" t="e">
        <v>#REF!</v>
      </c>
      <c r="O326" t="str">
        <f t="shared" si="5"/>
        <v>Lucy Chrétien</v>
      </c>
      <c r="P326" s="18">
        <v>5</v>
      </c>
    </row>
    <row r="327" spans="1:16" x14ac:dyDescent="0.45">
      <c r="A327" s="37">
        <v>326</v>
      </c>
      <c r="B327" s="37" t="s">
        <v>1236</v>
      </c>
      <c r="C327" s="37" t="s">
        <v>1520</v>
      </c>
      <c r="D327" s="12" t="s">
        <v>351</v>
      </c>
      <c r="E327" s="12" t="s">
        <v>352</v>
      </c>
      <c r="F327" s="12">
        <v>0</v>
      </c>
      <c r="G327" s="12">
        <v>1</v>
      </c>
      <c r="H327" s="12">
        <v>12</v>
      </c>
      <c r="I327" s="12">
        <v>0</v>
      </c>
      <c r="J327" s="12" t="s">
        <v>43</v>
      </c>
      <c r="K327" s="28">
        <v>1</v>
      </c>
      <c r="N327" t="e">
        <v>#REF!</v>
      </c>
      <c r="O327" t="str">
        <f t="shared" si="5"/>
        <v>Denis Samson</v>
      </c>
      <c r="P327" s="18">
        <v>1</v>
      </c>
    </row>
    <row r="328" spans="1:16" x14ac:dyDescent="0.45">
      <c r="A328" s="37">
        <v>327</v>
      </c>
      <c r="B328" s="37" t="s">
        <v>1355</v>
      </c>
      <c r="C328" s="37" t="s">
        <v>1389</v>
      </c>
      <c r="D328" s="12" t="s">
        <v>134</v>
      </c>
      <c r="E328" s="12" t="s">
        <v>135</v>
      </c>
      <c r="F328" s="12">
        <v>0</v>
      </c>
      <c r="G328" s="12">
        <v>0</v>
      </c>
      <c r="H328" s="12"/>
      <c r="I328" s="12">
        <v>1</v>
      </c>
      <c r="J328" s="12" t="s">
        <v>98</v>
      </c>
      <c r="K328" s="28">
        <v>1</v>
      </c>
      <c r="L328" s="9">
        <v>1</v>
      </c>
      <c r="N328" t="e">
        <v>#REF!</v>
      </c>
      <c r="O328" t="str">
        <f t="shared" si="5"/>
        <v>Alfred Lenoir</v>
      </c>
      <c r="P328" s="18">
        <v>1</v>
      </c>
    </row>
    <row r="329" spans="1:16" x14ac:dyDescent="0.45">
      <c r="A329" s="37">
        <v>328</v>
      </c>
      <c r="B329" s="37" t="s">
        <v>1230</v>
      </c>
      <c r="C329" s="37" t="s">
        <v>1521</v>
      </c>
      <c r="D329" s="12" t="s">
        <v>353</v>
      </c>
      <c r="E329" s="12" t="s">
        <v>354</v>
      </c>
      <c r="F329" s="12">
        <v>0</v>
      </c>
      <c r="G329" s="12">
        <v>1</v>
      </c>
      <c r="H329" s="12">
        <v>11</v>
      </c>
      <c r="I329" s="12">
        <v>0</v>
      </c>
      <c r="J329" s="12" t="s">
        <v>43</v>
      </c>
      <c r="K329" s="28">
        <v>1</v>
      </c>
      <c r="N329" t="e">
        <v>#REF!</v>
      </c>
      <c r="O329" t="str">
        <f t="shared" si="5"/>
        <v>Céline Lacombe</v>
      </c>
      <c r="P329" s="18">
        <v>4</v>
      </c>
    </row>
    <row r="330" spans="1:16" x14ac:dyDescent="0.45">
      <c r="A330" s="37">
        <v>329</v>
      </c>
      <c r="B330" s="37" t="s">
        <v>1522</v>
      </c>
      <c r="C330" s="37" t="s">
        <v>1245</v>
      </c>
      <c r="D330" s="12" t="s">
        <v>886</v>
      </c>
      <c r="E330" s="12" t="s">
        <v>887</v>
      </c>
      <c r="F330" s="12">
        <v>1</v>
      </c>
      <c r="G330" s="12">
        <v>0</v>
      </c>
      <c r="H330" s="12">
        <v>10</v>
      </c>
      <c r="I330" s="12">
        <v>0</v>
      </c>
      <c r="J330" s="12" t="s">
        <v>43</v>
      </c>
      <c r="K330" s="28" t="s">
        <v>487</v>
      </c>
      <c r="N330" t="e">
        <v>#REF!</v>
      </c>
      <c r="O330" t="str">
        <f t="shared" si="5"/>
        <v>Patricia Gimenez</v>
      </c>
      <c r="P330" s="18">
        <v>2</v>
      </c>
    </row>
    <row r="331" spans="1:16" x14ac:dyDescent="0.45">
      <c r="A331" s="37">
        <v>330</v>
      </c>
      <c r="B331" s="37" t="s">
        <v>1270</v>
      </c>
      <c r="C331" s="37" t="s">
        <v>1523</v>
      </c>
      <c r="D331" s="12" t="s">
        <v>888</v>
      </c>
      <c r="E331" s="12" t="s">
        <v>889</v>
      </c>
      <c r="F331" s="12">
        <v>1</v>
      </c>
      <c r="G331" s="12">
        <v>0</v>
      </c>
      <c r="H331" s="12">
        <v>30</v>
      </c>
      <c r="I331" s="12">
        <v>0</v>
      </c>
      <c r="J331" s="12" t="s">
        <v>43</v>
      </c>
      <c r="K331" s="28" t="s">
        <v>478</v>
      </c>
      <c r="N331" t="e">
        <v>#REF!</v>
      </c>
      <c r="O331" t="str">
        <f t="shared" si="5"/>
        <v>Renée Perrier</v>
      </c>
      <c r="P331" s="18">
        <v>8</v>
      </c>
    </row>
    <row r="332" spans="1:16" x14ac:dyDescent="0.45">
      <c r="A332" s="37">
        <v>331</v>
      </c>
      <c r="B332" s="37" t="s">
        <v>1136</v>
      </c>
      <c r="C332" s="37" t="s">
        <v>1524</v>
      </c>
      <c r="D332" s="12" t="s">
        <v>355</v>
      </c>
      <c r="E332" s="12" t="s">
        <v>356</v>
      </c>
      <c r="F332" s="12">
        <v>0</v>
      </c>
      <c r="G332" s="12">
        <v>1</v>
      </c>
      <c r="H332" s="12">
        <v>30</v>
      </c>
      <c r="I332" s="12">
        <v>0</v>
      </c>
      <c r="J332" s="12" t="s">
        <v>43</v>
      </c>
      <c r="K332" s="28">
        <v>1</v>
      </c>
      <c r="N332" t="e">
        <v>#REF!</v>
      </c>
      <c r="O332" t="str">
        <f t="shared" si="5"/>
        <v>Caroline Berthelot</v>
      </c>
      <c r="P332" s="18">
        <v>8</v>
      </c>
    </row>
    <row r="333" spans="1:16" x14ac:dyDescent="0.45">
      <c r="A333" s="37">
        <v>332</v>
      </c>
      <c r="B333" s="37" t="s">
        <v>1497</v>
      </c>
      <c r="C333" s="37" t="s">
        <v>1255</v>
      </c>
      <c r="D333" s="12" t="s">
        <v>357</v>
      </c>
      <c r="E333" s="12" t="s">
        <v>358</v>
      </c>
      <c r="F333" s="12">
        <v>0</v>
      </c>
      <c r="G333" s="12">
        <v>1</v>
      </c>
      <c r="H333" s="12">
        <v>33</v>
      </c>
      <c r="I333" s="12">
        <v>0</v>
      </c>
      <c r="J333" s="12" t="s">
        <v>43</v>
      </c>
      <c r="K333" s="28">
        <v>1</v>
      </c>
      <c r="N333" t="e">
        <v>#REF!</v>
      </c>
      <c r="O333" t="str">
        <f t="shared" si="5"/>
        <v>Jeannine Paris</v>
      </c>
      <c r="P333" s="18">
        <v>8</v>
      </c>
    </row>
    <row r="334" spans="1:16" x14ac:dyDescent="0.45">
      <c r="A334" s="37">
        <v>333</v>
      </c>
      <c r="B334" s="37" t="s">
        <v>1494</v>
      </c>
      <c r="C334" s="37" t="s">
        <v>1492</v>
      </c>
      <c r="D334" s="12" t="s">
        <v>359</v>
      </c>
      <c r="E334" s="12" t="s">
        <v>360</v>
      </c>
      <c r="F334" s="12">
        <v>0</v>
      </c>
      <c r="G334" s="12">
        <v>1</v>
      </c>
      <c r="H334" s="12">
        <v>11</v>
      </c>
      <c r="I334" s="12">
        <v>0</v>
      </c>
      <c r="J334" s="12" t="s">
        <v>43</v>
      </c>
      <c r="K334" s="28">
        <v>1</v>
      </c>
      <c r="N334" t="e">
        <v>#REF!</v>
      </c>
      <c r="O334" t="str">
        <f t="shared" si="5"/>
        <v>Édouard Collet</v>
      </c>
      <c r="P334" s="18">
        <v>4</v>
      </c>
    </row>
    <row r="335" spans="1:16" x14ac:dyDescent="0.45">
      <c r="A335" s="37">
        <v>334</v>
      </c>
      <c r="B335" s="37" t="s">
        <v>720</v>
      </c>
      <c r="C335" s="37" t="s">
        <v>1509</v>
      </c>
      <c r="D335" s="12" t="s">
        <v>136</v>
      </c>
      <c r="E335" s="12" t="s">
        <v>137</v>
      </c>
      <c r="F335" s="12">
        <v>0</v>
      </c>
      <c r="G335" s="12">
        <v>0</v>
      </c>
      <c r="H335" s="12"/>
      <c r="I335" s="12">
        <v>1</v>
      </c>
      <c r="J335" s="12" t="s">
        <v>138</v>
      </c>
      <c r="K335" s="28">
        <v>1</v>
      </c>
      <c r="L335" s="9">
        <v>1</v>
      </c>
      <c r="N335" t="e">
        <v>#REF!</v>
      </c>
      <c r="O335" t="str">
        <f t="shared" si="5"/>
        <v>Benjamin Faivre</v>
      </c>
      <c r="P335" s="18">
        <v>1</v>
      </c>
    </row>
    <row r="336" spans="1:16" x14ac:dyDescent="0.45">
      <c r="A336" s="37">
        <v>335</v>
      </c>
      <c r="B336" s="37" t="s">
        <v>1381</v>
      </c>
      <c r="C336" s="37" t="s">
        <v>1434</v>
      </c>
      <c r="D336" s="12" t="s">
        <v>362</v>
      </c>
      <c r="E336" s="12" t="s">
        <v>363</v>
      </c>
      <c r="F336" s="12">
        <v>0</v>
      </c>
      <c r="G336" s="12">
        <v>1</v>
      </c>
      <c r="H336" s="12">
        <v>16</v>
      </c>
      <c r="I336" s="12">
        <v>0</v>
      </c>
      <c r="J336" s="12" t="s">
        <v>43</v>
      </c>
      <c r="K336" s="28">
        <v>1</v>
      </c>
      <c r="N336" t="e">
        <v>#REF!</v>
      </c>
      <c r="O336" t="str">
        <f t="shared" si="5"/>
        <v>Nath Dumas</v>
      </c>
      <c r="P336" s="18">
        <v>6</v>
      </c>
    </row>
    <row r="337" spans="1:16" x14ac:dyDescent="0.45">
      <c r="A337" s="37">
        <v>336</v>
      </c>
      <c r="B337" s="37" t="s">
        <v>1230</v>
      </c>
      <c r="C337" s="37" t="s">
        <v>1525</v>
      </c>
      <c r="D337" s="12" t="s">
        <v>890</v>
      </c>
      <c r="E337" s="12" t="s">
        <v>43</v>
      </c>
      <c r="F337" s="12">
        <v>1</v>
      </c>
      <c r="G337" s="12">
        <v>0</v>
      </c>
      <c r="H337" s="12">
        <v>31</v>
      </c>
      <c r="I337" s="12">
        <v>0</v>
      </c>
      <c r="J337" s="12" t="s">
        <v>43</v>
      </c>
      <c r="K337" s="28" t="s">
        <v>478</v>
      </c>
      <c r="N337" t="e">
        <v>#REF!</v>
      </c>
      <c r="O337" t="str">
        <f t="shared" si="5"/>
        <v>Céline Grenier</v>
      </c>
      <c r="P337" s="18">
        <v>6</v>
      </c>
    </row>
    <row r="338" spans="1:16" x14ac:dyDescent="0.45">
      <c r="A338" s="37">
        <v>337</v>
      </c>
      <c r="B338" s="37" t="s">
        <v>117</v>
      </c>
      <c r="C338" s="37" t="s">
        <v>1526</v>
      </c>
      <c r="D338" s="12" t="s">
        <v>891</v>
      </c>
      <c r="E338" s="12" t="s">
        <v>892</v>
      </c>
      <c r="F338" s="12">
        <v>1</v>
      </c>
      <c r="G338" s="12">
        <v>0</v>
      </c>
      <c r="H338" s="12">
        <v>42</v>
      </c>
      <c r="I338" s="12">
        <v>0</v>
      </c>
      <c r="J338" s="12" t="s">
        <v>43</v>
      </c>
      <c r="K338" s="28" t="s">
        <v>478</v>
      </c>
      <c r="L338" s="9">
        <v>9</v>
      </c>
      <c r="N338" t="e">
        <v>#REF!</v>
      </c>
      <c r="O338" t="str">
        <f t="shared" si="5"/>
        <v>Lucas Bègue</v>
      </c>
      <c r="P338" s="18">
        <v>9</v>
      </c>
    </row>
    <row r="339" spans="1:16" x14ac:dyDescent="0.45">
      <c r="A339" s="37">
        <v>338</v>
      </c>
      <c r="B339" s="37" t="s">
        <v>1307</v>
      </c>
      <c r="C339" s="37" t="s">
        <v>1527</v>
      </c>
      <c r="D339" s="12" t="s">
        <v>893</v>
      </c>
      <c r="E339" s="12" t="s">
        <v>894</v>
      </c>
      <c r="F339" s="12">
        <v>1</v>
      </c>
      <c r="G339" s="12">
        <v>0</v>
      </c>
      <c r="H339" s="12">
        <v>13</v>
      </c>
      <c r="I339" s="12">
        <v>0</v>
      </c>
      <c r="J339" s="12" t="s">
        <v>43</v>
      </c>
      <c r="K339" s="28" t="s">
        <v>478</v>
      </c>
      <c r="N339" t="e">
        <v>#REF!</v>
      </c>
      <c r="O339" t="str">
        <f t="shared" si="5"/>
        <v>Julie Rodriguez</v>
      </c>
      <c r="P339" s="18">
        <v>4</v>
      </c>
    </row>
    <row r="340" spans="1:16" x14ac:dyDescent="0.45">
      <c r="A340" s="37">
        <v>339</v>
      </c>
      <c r="B340" s="37" t="s">
        <v>682</v>
      </c>
      <c r="C340" s="37" t="s">
        <v>1291</v>
      </c>
      <c r="D340" s="12" t="s">
        <v>895</v>
      </c>
      <c r="E340" s="12" t="s">
        <v>896</v>
      </c>
      <c r="F340" s="12">
        <v>1</v>
      </c>
      <c r="G340" s="12">
        <v>0</v>
      </c>
      <c r="H340" s="12">
        <v>8</v>
      </c>
      <c r="I340" s="12">
        <v>0</v>
      </c>
      <c r="J340" s="12" t="s">
        <v>43</v>
      </c>
      <c r="K340" s="28" t="s">
        <v>478</v>
      </c>
      <c r="N340" t="e">
        <v>#REF!</v>
      </c>
      <c r="O340" t="str">
        <f t="shared" si="5"/>
        <v>Timothée Noël</v>
      </c>
      <c r="P340" s="18">
        <v>8</v>
      </c>
    </row>
    <row r="341" spans="1:16" x14ac:dyDescent="0.45">
      <c r="A341" s="37">
        <v>340</v>
      </c>
      <c r="B341" s="37" t="s">
        <v>1502</v>
      </c>
      <c r="C341" s="37" t="s">
        <v>1438</v>
      </c>
      <c r="D341" s="12" t="s">
        <v>364</v>
      </c>
      <c r="E341" s="12" t="s">
        <v>365</v>
      </c>
      <c r="F341" s="12">
        <v>0</v>
      </c>
      <c r="G341" s="12">
        <v>1</v>
      </c>
      <c r="H341" s="12">
        <v>22</v>
      </c>
      <c r="I341" s="12">
        <v>0</v>
      </c>
      <c r="J341" s="12" t="s">
        <v>43</v>
      </c>
      <c r="K341" s="28">
        <v>1</v>
      </c>
      <c r="N341" t="e">
        <v>#REF!</v>
      </c>
      <c r="O341" t="str">
        <f t="shared" si="5"/>
        <v>Catherine Imbert</v>
      </c>
      <c r="P341" s="18">
        <v>5</v>
      </c>
    </row>
    <row r="342" spans="1:16" x14ac:dyDescent="0.45">
      <c r="A342" s="37">
        <v>341</v>
      </c>
      <c r="B342" s="37" t="s">
        <v>1260</v>
      </c>
      <c r="C342" s="37" t="s">
        <v>1526</v>
      </c>
      <c r="D342" s="12" t="s">
        <v>897</v>
      </c>
      <c r="E342" s="12" t="s">
        <v>898</v>
      </c>
      <c r="F342" s="12">
        <v>1</v>
      </c>
      <c r="G342" s="12">
        <v>0</v>
      </c>
      <c r="H342" s="12">
        <v>20</v>
      </c>
      <c r="I342" s="12">
        <v>0</v>
      </c>
      <c r="J342" s="12" t="s">
        <v>43</v>
      </c>
      <c r="K342" s="28" t="s">
        <v>478</v>
      </c>
      <c r="N342" t="e">
        <v>#REF!</v>
      </c>
      <c r="O342" t="str">
        <f t="shared" si="5"/>
        <v>Georges Bègue</v>
      </c>
      <c r="P342" s="18">
        <v>8</v>
      </c>
    </row>
    <row r="343" spans="1:16" x14ac:dyDescent="0.45">
      <c r="A343" s="37">
        <v>342</v>
      </c>
      <c r="B343" s="37" t="s">
        <v>1221</v>
      </c>
      <c r="C343" s="37" t="s">
        <v>733</v>
      </c>
      <c r="D343" s="12" t="s">
        <v>899</v>
      </c>
      <c r="E343" s="12" t="s">
        <v>43</v>
      </c>
      <c r="F343" s="12">
        <v>1</v>
      </c>
      <c r="G343" s="12">
        <v>0</v>
      </c>
      <c r="H343" s="12">
        <v>9</v>
      </c>
      <c r="I343" s="12">
        <v>0</v>
      </c>
      <c r="J343" s="12" t="s">
        <v>43</v>
      </c>
      <c r="K343" s="28" t="s">
        <v>478</v>
      </c>
      <c r="N343" t="e">
        <v>#REF!</v>
      </c>
      <c r="O343" t="str">
        <f t="shared" si="5"/>
        <v>Sophie Guillaume</v>
      </c>
      <c r="P343" s="18">
        <v>1</v>
      </c>
    </row>
    <row r="344" spans="1:16" x14ac:dyDescent="0.45">
      <c r="A344" s="37">
        <v>343</v>
      </c>
      <c r="B344" s="37" t="s">
        <v>671</v>
      </c>
      <c r="C344" s="37" t="s">
        <v>1528</v>
      </c>
      <c r="D344" s="12" t="s">
        <v>366</v>
      </c>
      <c r="E344" s="12" t="s">
        <v>367</v>
      </c>
      <c r="F344" s="12">
        <v>0</v>
      </c>
      <c r="G344" s="12">
        <v>1</v>
      </c>
      <c r="H344" s="12">
        <v>15</v>
      </c>
      <c r="I344" s="12">
        <v>0</v>
      </c>
      <c r="J344" s="12" t="s">
        <v>43</v>
      </c>
      <c r="K344" s="28">
        <v>1</v>
      </c>
      <c r="N344" t="e">
        <v>#REF!</v>
      </c>
      <c r="O344" t="str">
        <f t="shared" si="5"/>
        <v>Marguerite Leclercq</v>
      </c>
      <c r="P344" s="18">
        <v>2</v>
      </c>
    </row>
    <row r="345" spans="1:16" x14ac:dyDescent="0.45">
      <c r="A345" s="37">
        <v>344</v>
      </c>
      <c r="B345" s="37" t="s">
        <v>522</v>
      </c>
      <c r="C345" s="37" t="s">
        <v>1524</v>
      </c>
      <c r="D345" s="12" t="s">
        <v>900</v>
      </c>
      <c r="E345" s="12" t="s">
        <v>901</v>
      </c>
      <c r="F345" s="12">
        <v>1</v>
      </c>
      <c r="G345" s="12">
        <v>0</v>
      </c>
      <c r="H345" s="12">
        <v>7</v>
      </c>
      <c r="I345" s="12">
        <v>0</v>
      </c>
      <c r="J345" s="12" t="s">
        <v>43</v>
      </c>
      <c r="K345" s="28" t="s">
        <v>478</v>
      </c>
      <c r="N345" t="e">
        <v>#REF!</v>
      </c>
      <c r="O345" t="str">
        <f t="shared" si="5"/>
        <v>Constance Berthelot</v>
      </c>
      <c r="P345" s="18">
        <v>1</v>
      </c>
    </row>
    <row r="346" spans="1:16" x14ac:dyDescent="0.45">
      <c r="A346" s="37">
        <v>345</v>
      </c>
      <c r="B346" s="37" t="s">
        <v>1507</v>
      </c>
      <c r="C346" s="37" t="s">
        <v>1378</v>
      </c>
      <c r="D346" s="12" t="s">
        <v>902</v>
      </c>
      <c r="E346" s="12" t="s">
        <v>903</v>
      </c>
      <c r="F346" s="12">
        <v>1</v>
      </c>
      <c r="G346" s="12">
        <v>0</v>
      </c>
      <c r="H346" s="12">
        <v>20</v>
      </c>
      <c r="I346" s="12">
        <v>0</v>
      </c>
      <c r="J346" s="12" t="s">
        <v>43</v>
      </c>
      <c r="K346" s="28" t="s">
        <v>478</v>
      </c>
      <c r="N346" t="e">
        <v>#REF!</v>
      </c>
      <c r="O346" t="str">
        <f t="shared" si="5"/>
        <v>Isaac Dupré</v>
      </c>
      <c r="P346" s="18">
        <v>8</v>
      </c>
    </row>
    <row r="347" spans="1:16" x14ac:dyDescent="0.45">
      <c r="A347" s="37">
        <v>346</v>
      </c>
      <c r="B347" s="37" t="s">
        <v>1529</v>
      </c>
      <c r="C347" s="37" t="s">
        <v>1530</v>
      </c>
      <c r="D347" s="12" t="s">
        <v>904</v>
      </c>
      <c r="E347" s="12" t="s">
        <v>905</v>
      </c>
      <c r="F347" s="12">
        <v>1</v>
      </c>
      <c r="G347" s="12">
        <v>0</v>
      </c>
      <c r="H347" s="12">
        <v>34</v>
      </c>
      <c r="I347" s="12">
        <v>0</v>
      </c>
      <c r="J347" s="12" t="s">
        <v>43</v>
      </c>
      <c r="K347" s="28" t="s">
        <v>478</v>
      </c>
      <c r="N347" t="e">
        <v>#REF!</v>
      </c>
      <c r="O347" t="str">
        <f t="shared" si="5"/>
        <v>Adèle Gonzalez</v>
      </c>
      <c r="P347" s="18">
        <v>3</v>
      </c>
    </row>
    <row r="348" spans="1:16" x14ac:dyDescent="0.45">
      <c r="A348" s="37">
        <v>347</v>
      </c>
      <c r="B348" s="37" t="s">
        <v>206</v>
      </c>
      <c r="C348" s="37" t="s">
        <v>1531</v>
      </c>
      <c r="D348" s="12" t="s">
        <v>906</v>
      </c>
      <c r="E348" s="12" t="s">
        <v>43</v>
      </c>
      <c r="F348" s="12">
        <v>1</v>
      </c>
      <c r="G348" s="12">
        <v>0</v>
      </c>
      <c r="H348" s="12">
        <v>29</v>
      </c>
      <c r="I348" s="12">
        <v>0</v>
      </c>
      <c r="J348" s="12" t="s">
        <v>43</v>
      </c>
      <c r="K348" s="28" t="s">
        <v>478</v>
      </c>
      <c r="N348" t="e">
        <v>#REF!</v>
      </c>
      <c r="O348" t="str">
        <f t="shared" si="5"/>
        <v>Thomas Bodin</v>
      </c>
      <c r="P348" s="18">
        <v>5</v>
      </c>
    </row>
    <row r="349" spans="1:16" x14ac:dyDescent="0.45">
      <c r="A349" s="37">
        <v>348</v>
      </c>
      <c r="B349" s="37" t="s">
        <v>1324</v>
      </c>
      <c r="C349" s="37" t="s">
        <v>117</v>
      </c>
      <c r="D349" s="12" t="s">
        <v>907</v>
      </c>
      <c r="E349" s="12" t="s">
        <v>43</v>
      </c>
      <c r="F349" s="12">
        <v>1</v>
      </c>
      <c r="G349" s="12">
        <v>0</v>
      </c>
      <c r="H349" s="12">
        <v>36</v>
      </c>
      <c r="I349" s="12">
        <v>0</v>
      </c>
      <c r="J349" s="12" t="s">
        <v>43</v>
      </c>
      <c r="K349" s="28" t="s">
        <v>478</v>
      </c>
      <c r="N349" t="e">
        <v>#REF!</v>
      </c>
      <c r="O349" t="str">
        <f t="shared" si="5"/>
        <v>Michel Lucas</v>
      </c>
      <c r="P349" s="18">
        <v>3</v>
      </c>
    </row>
    <row r="350" spans="1:16" x14ac:dyDescent="0.45">
      <c r="A350" s="37">
        <v>349</v>
      </c>
      <c r="B350" s="37" t="s">
        <v>912</v>
      </c>
      <c r="C350" s="37" t="s">
        <v>1441</v>
      </c>
      <c r="D350" s="12" t="s">
        <v>368</v>
      </c>
      <c r="E350" s="12" t="s">
        <v>369</v>
      </c>
      <c r="F350" s="12">
        <v>0</v>
      </c>
      <c r="G350" s="12">
        <v>1</v>
      </c>
      <c r="H350" s="12">
        <v>34</v>
      </c>
      <c r="I350" s="12">
        <v>0</v>
      </c>
      <c r="J350" s="12" t="s">
        <v>43</v>
      </c>
      <c r="K350" s="28">
        <v>1</v>
      </c>
      <c r="N350" t="e">
        <v>#REF!</v>
      </c>
      <c r="O350" t="str">
        <f t="shared" si="5"/>
        <v>Augustin Jacquet</v>
      </c>
      <c r="P350" s="18">
        <v>3</v>
      </c>
    </row>
    <row r="351" spans="1:16" x14ac:dyDescent="0.45">
      <c r="A351" s="37">
        <v>350</v>
      </c>
      <c r="B351" s="37" t="s">
        <v>269</v>
      </c>
      <c r="C351" s="37" t="s">
        <v>1532</v>
      </c>
      <c r="D351" s="12" t="s">
        <v>908</v>
      </c>
      <c r="E351" s="12" t="s">
        <v>909</v>
      </c>
      <c r="F351" s="12">
        <v>1</v>
      </c>
      <c r="G351" s="12">
        <v>0</v>
      </c>
      <c r="H351" s="12">
        <v>12</v>
      </c>
      <c r="I351" s="12">
        <v>0</v>
      </c>
      <c r="J351" s="12" t="s">
        <v>43</v>
      </c>
      <c r="K351" s="28" t="s">
        <v>478</v>
      </c>
      <c r="N351" t="e">
        <v>#REF!</v>
      </c>
      <c r="O351" t="str">
        <f t="shared" si="5"/>
        <v>Louise Delmas</v>
      </c>
      <c r="P351" s="18">
        <v>1</v>
      </c>
    </row>
    <row r="352" spans="1:16" x14ac:dyDescent="0.45">
      <c r="A352" s="37">
        <v>351</v>
      </c>
      <c r="B352" s="37" t="s">
        <v>1460</v>
      </c>
      <c r="C352" s="37" t="s">
        <v>1235</v>
      </c>
      <c r="D352" s="12" t="s">
        <v>910</v>
      </c>
      <c r="E352" s="12" t="s">
        <v>911</v>
      </c>
      <c r="F352" s="12">
        <v>0</v>
      </c>
      <c r="G352" s="12">
        <v>0</v>
      </c>
      <c r="H352" s="12"/>
      <c r="I352" s="12">
        <v>0</v>
      </c>
      <c r="J352" s="12" t="s">
        <v>43</v>
      </c>
      <c r="K352" s="28">
        <v>1</v>
      </c>
      <c r="L352" s="9">
        <v>6</v>
      </c>
      <c r="N352" t="e">
        <v>#REF!</v>
      </c>
      <c r="O352" t="str">
        <f t="shared" si="5"/>
        <v>Étienne Descamps</v>
      </c>
      <c r="P352" s="18">
        <v>6</v>
      </c>
    </row>
    <row r="353" spans="1:16" x14ac:dyDescent="0.45">
      <c r="A353" s="37">
        <v>352</v>
      </c>
      <c r="B353" s="37" t="s">
        <v>1326</v>
      </c>
      <c r="C353" s="37" t="s">
        <v>1438</v>
      </c>
      <c r="D353" s="12" t="s">
        <v>913</v>
      </c>
      <c r="E353" s="12" t="s">
        <v>914</v>
      </c>
      <c r="F353" s="12">
        <v>1</v>
      </c>
      <c r="G353" s="12">
        <v>0</v>
      </c>
      <c r="H353" s="12">
        <v>21</v>
      </c>
      <c r="I353" s="12">
        <v>0</v>
      </c>
      <c r="J353" s="12" t="s">
        <v>43</v>
      </c>
      <c r="K353" s="28" t="s">
        <v>478</v>
      </c>
      <c r="N353" t="e">
        <v>#REF!</v>
      </c>
      <c r="O353" t="str">
        <f t="shared" si="5"/>
        <v>David Imbert</v>
      </c>
      <c r="P353" s="18">
        <v>3</v>
      </c>
    </row>
    <row r="354" spans="1:16" x14ac:dyDescent="0.45">
      <c r="A354" s="37">
        <v>353</v>
      </c>
      <c r="B354" s="37" t="s">
        <v>1359</v>
      </c>
      <c r="C354" s="37" t="s">
        <v>1533</v>
      </c>
      <c r="D354" s="12" t="s">
        <v>139</v>
      </c>
      <c r="E354" s="12" t="s">
        <v>140</v>
      </c>
      <c r="F354" s="12">
        <v>0</v>
      </c>
      <c r="G354" s="12">
        <v>0</v>
      </c>
      <c r="H354" s="12"/>
      <c r="I354" s="12">
        <v>1</v>
      </c>
      <c r="J354" s="12" t="s">
        <v>106</v>
      </c>
      <c r="K354" s="28">
        <v>1</v>
      </c>
      <c r="L354" s="9">
        <v>2</v>
      </c>
      <c r="M354" s="9">
        <v>1</v>
      </c>
      <c r="N354" t="e">
        <v>#REF!</v>
      </c>
      <c r="O354" t="str">
        <f t="shared" ref="O354:O417" si="6">_xlfn.CONCAT(B354, " ", C354)</f>
        <v>Frédéric Bouvet</v>
      </c>
      <c r="P354" s="18">
        <v>2</v>
      </c>
    </row>
    <row r="355" spans="1:16" x14ac:dyDescent="0.45">
      <c r="A355" s="37">
        <v>354</v>
      </c>
      <c r="B355" s="37" t="s">
        <v>1350</v>
      </c>
      <c r="C355" s="37" t="s">
        <v>1465</v>
      </c>
      <c r="D355" s="12" t="s">
        <v>370</v>
      </c>
      <c r="E355" s="12" t="s">
        <v>371</v>
      </c>
      <c r="F355" s="12">
        <v>0</v>
      </c>
      <c r="G355" s="12">
        <v>1</v>
      </c>
      <c r="H355" s="12">
        <v>8</v>
      </c>
      <c r="I355" s="12">
        <v>0</v>
      </c>
      <c r="J355" s="12" t="s">
        <v>43</v>
      </c>
      <c r="K355" s="28">
        <v>1</v>
      </c>
      <c r="N355" t="e">
        <v>#REF!</v>
      </c>
      <c r="O355" t="str">
        <f t="shared" si="6"/>
        <v>Anne Guillot</v>
      </c>
      <c r="P355" s="18">
        <v>8</v>
      </c>
    </row>
    <row r="356" spans="1:16" x14ac:dyDescent="0.45">
      <c r="A356" s="37">
        <v>355</v>
      </c>
      <c r="B356" s="37" t="s">
        <v>50</v>
      </c>
      <c r="C356" s="37" t="s">
        <v>1521</v>
      </c>
      <c r="D356" s="12" t="s">
        <v>915</v>
      </c>
      <c r="E356" s="12" t="s">
        <v>916</v>
      </c>
      <c r="F356" s="12">
        <v>1</v>
      </c>
      <c r="G356" s="12">
        <v>0</v>
      </c>
      <c r="H356" s="12">
        <v>20</v>
      </c>
      <c r="I356" s="12">
        <v>0</v>
      </c>
      <c r="J356" s="12" t="s">
        <v>43</v>
      </c>
      <c r="K356" s="28" t="s">
        <v>487</v>
      </c>
      <c r="N356" t="e">
        <v>#REF!</v>
      </c>
      <c r="O356" t="str">
        <f t="shared" si="6"/>
        <v>Julien Lacombe</v>
      </c>
      <c r="P356" s="18">
        <v>8</v>
      </c>
    </row>
    <row r="357" spans="1:16" x14ac:dyDescent="0.45">
      <c r="A357" s="37">
        <v>356</v>
      </c>
      <c r="B357" s="37" t="s">
        <v>1508</v>
      </c>
      <c r="C357" s="37" t="s">
        <v>1238</v>
      </c>
      <c r="D357" s="12" t="s">
        <v>372</v>
      </c>
      <c r="E357" s="12" t="s">
        <v>373</v>
      </c>
      <c r="F357" s="12">
        <v>0</v>
      </c>
      <c r="G357" s="12">
        <v>1</v>
      </c>
      <c r="H357" s="12">
        <v>24</v>
      </c>
      <c r="I357" s="12">
        <v>0</v>
      </c>
      <c r="J357" s="12" t="s">
        <v>43</v>
      </c>
      <c r="K357" s="28">
        <v>1</v>
      </c>
      <c r="N357" t="e">
        <v>#REF!</v>
      </c>
      <c r="O357" t="str">
        <f t="shared" si="6"/>
        <v>Franck Wagner</v>
      </c>
      <c r="P357" s="18">
        <v>6</v>
      </c>
    </row>
    <row r="358" spans="1:16" x14ac:dyDescent="0.45">
      <c r="A358" s="37">
        <v>357</v>
      </c>
      <c r="B358" s="37" t="s">
        <v>233</v>
      </c>
      <c r="C358" s="37" t="s">
        <v>1534</v>
      </c>
      <c r="D358" s="12" t="s">
        <v>918</v>
      </c>
      <c r="E358" s="12" t="s">
        <v>919</v>
      </c>
      <c r="F358" s="12">
        <v>1</v>
      </c>
      <c r="G358" s="12">
        <v>0</v>
      </c>
      <c r="H358" s="12">
        <v>11</v>
      </c>
      <c r="I358" s="12">
        <v>0</v>
      </c>
      <c r="J358" s="12" t="s">
        <v>43</v>
      </c>
      <c r="K358" s="28" t="s">
        <v>478</v>
      </c>
      <c r="N358" t="e">
        <v>#REF!</v>
      </c>
      <c r="O358" t="str">
        <f t="shared" si="6"/>
        <v>Jules Ramos</v>
      </c>
      <c r="P358" s="18">
        <v>4</v>
      </c>
    </row>
    <row r="359" spans="1:16" x14ac:dyDescent="0.45">
      <c r="A359" s="37">
        <v>358</v>
      </c>
      <c r="B359" s="37" t="s">
        <v>542</v>
      </c>
      <c r="C359" s="37" t="s">
        <v>1358</v>
      </c>
      <c r="D359" s="12" t="s">
        <v>374</v>
      </c>
      <c r="E359" s="12" t="s">
        <v>375</v>
      </c>
      <c r="F359" s="12">
        <v>0</v>
      </c>
      <c r="G359" s="12">
        <v>1</v>
      </c>
      <c r="H359" s="12">
        <v>21</v>
      </c>
      <c r="I359" s="12">
        <v>0</v>
      </c>
      <c r="J359" s="12" t="s">
        <v>43</v>
      </c>
      <c r="K359" s="28">
        <v>1</v>
      </c>
      <c r="N359" t="e">
        <v>#REF!</v>
      </c>
      <c r="O359" t="str">
        <f t="shared" si="6"/>
        <v>Nicolas Bourdon</v>
      </c>
      <c r="P359" s="18">
        <v>3</v>
      </c>
    </row>
    <row r="360" spans="1:16" x14ac:dyDescent="0.45">
      <c r="A360" s="37">
        <v>359</v>
      </c>
      <c r="B360" s="37" t="s">
        <v>1535</v>
      </c>
      <c r="C360" s="37" t="s">
        <v>1536</v>
      </c>
      <c r="D360" s="12" t="s">
        <v>377</v>
      </c>
      <c r="E360" s="12" t="s">
        <v>378</v>
      </c>
      <c r="F360" s="12">
        <v>0</v>
      </c>
      <c r="G360" s="12">
        <v>1</v>
      </c>
      <c r="H360" s="12">
        <v>30</v>
      </c>
      <c r="I360" s="12">
        <v>0</v>
      </c>
      <c r="J360" s="12" t="s">
        <v>43</v>
      </c>
      <c r="K360" s="28">
        <v>1</v>
      </c>
      <c r="N360" t="e">
        <v>#REF!</v>
      </c>
      <c r="O360" t="str">
        <f t="shared" si="6"/>
        <v>Danielle Allain</v>
      </c>
      <c r="P360" s="18">
        <v>8</v>
      </c>
    </row>
    <row r="361" spans="1:16" x14ac:dyDescent="0.45">
      <c r="A361" s="37">
        <v>360</v>
      </c>
      <c r="B361" s="37" t="s">
        <v>1500</v>
      </c>
      <c r="C361" s="37" t="s">
        <v>1537</v>
      </c>
      <c r="D361" s="12" t="s">
        <v>920</v>
      </c>
      <c r="E361" s="12" t="s">
        <v>921</v>
      </c>
      <c r="F361" s="12">
        <v>1</v>
      </c>
      <c r="G361" s="12">
        <v>0</v>
      </c>
      <c r="H361" s="12">
        <v>13</v>
      </c>
      <c r="I361" s="12">
        <v>0</v>
      </c>
      <c r="J361" s="12" t="s">
        <v>43</v>
      </c>
      <c r="K361" s="28" t="s">
        <v>478</v>
      </c>
      <c r="N361" t="e">
        <v>#REF!</v>
      </c>
      <c r="O361" t="str">
        <f t="shared" si="6"/>
        <v>Christine Pereira</v>
      </c>
      <c r="P361" s="18">
        <v>4</v>
      </c>
    </row>
    <row r="362" spans="1:16" x14ac:dyDescent="0.45">
      <c r="A362" s="37">
        <v>361</v>
      </c>
      <c r="B362" s="37" t="s">
        <v>1423</v>
      </c>
      <c r="C362" s="37" t="s">
        <v>1538</v>
      </c>
      <c r="D362" s="12" t="s">
        <v>922</v>
      </c>
      <c r="E362" s="12" t="s">
        <v>923</v>
      </c>
      <c r="F362" s="12">
        <v>1</v>
      </c>
      <c r="G362" s="12">
        <v>0</v>
      </c>
      <c r="H362" s="12">
        <v>35</v>
      </c>
      <c r="I362" s="12">
        <v>0</v>
      </c>
      <c r="J362" s="12" t="s">
        <v>43</v>
      </c>
      <c r="K362" s="28" t="s">
        <v>478</v>
      </c>
      <c r="N362" t="e">
        <v>#REF!</v>
      </c>
      <c r="O362" t="str">
        <f t="shared" si="6"/>
        <v>Brigitte Barthelemy</v>
      </c>
      <c r="P362" s="18">
        <v>9</v>
      </c>
    </row>
    <row r="363" spans="1:16" x14ac:dyDescent="0.45">
      <c r="A363" s="37">
        <v>362</v>
      </c>
      <c r="B363" s="37" t="s">
        <v>473</v>
      </c>
      <c r="C363" s="37" t="s">
        <v>1347</v>
      </c>
      <c r="D363" s="12" t="s">
        <v>924</v>
      </c>
      <c r="E363" s="12" t="s">
        <v>925</v>
      </c>
      <c r="F363" s="12">
        <v>1</v>
      </c>
      <c r="G363" s="12">
        <v>0</v>
      </c>
      <c r="H363" s="12">
        <v>23</v>
      </c>
      <c r="I363" s="12">
        <v>0</v>
      </c>
      <c r="J363" s="12" t="s">
        <v>43</v>
      </c>
      <c r="K363" s="28" t="s">
        <v>478</v>
      </c>
      <c r="N363" t="e">
        <v>#REF!</v>
      </c>
      <c r="O363" t="str">
        <f t="shared" si="6"/>
        <v>Laurent Albert</v>
      </c>
      <c r="P363" s="18">
        <v>5</v>
      </c>
    </row>
    <row r="364" spans="1:16" x14ac:dyDescent="0.45">
      <c r="A364" s="37">
        <v>363</v>
      </c>
      <c r="B364" s="37" t="s">
        <v>647</v>
      </c>
      <c r="C364" s="37" t="s">
        <v>1534</v>
      </c>
      <c r="D364" s="12" t="s">
        <v>379</v>
      </c>
      <c r="E364" s="12" t="s">
        <v>380</v>
      </c>
      <c r="F364" s="12">
        <v>0</v>
      </c>
      <c r="G364" s="12">
        <v>1</v>
      </c>
      <c r="H364" s="12">
        <v>24</v>
      </c>
      <c r="I364" s="12">
        <v>0</v>
      </c>
      <c r="J364" s="12" t="s">
        <v>43</v>
      </c>
      <c r="K364" s="28">
        <v>1</v>
      </c>
      <c r="N364" t="e">
        <v>#REF!</v>
      </c>
      <c r="O364" t="str">
        <f t="shared" si="6"/>
        <v>Gabriel Ramos</v>
      </c>
      <c r="P364" s="18">
        <v>6</v>
      </c>
    </row>
    <row r="365" spans="1:16" x14ac:dyDescent="0.45">
      <c r="A365" s="37">
        <v>364</v>
      </c>
      <c r="B365" s="37" t="s">
        <v>466</v>
      </c>
      <c r="C365" s="37" t="s">
        <v>1539</v>
      </c>
      <c r="D365" s="12" t="s">
        <v>926</v>
      </c>
      <c r="E365" s="12" t="s">
        <v>927</v>
      </c>
      <c r="F365" s="12">
        <v>1</v>
      </c>
      <c r="G365" s="12">
        <v>0</v>
      </c>
      <c r="H365" s="12">
        <v>24</v>
      </c>
      <c r="I365" s="12">
        <v>0</v>
      </c>
      <c r="J365" s="12" t="s">
        <v>43</v>
      </c>
      <c r="K365" s="28" t="s">
        <v>478</v>
      </c>
      <c r="N365" t="e">
        <v>#REF!</v>
      </c>
      <c r="O365" t="str">
        <f t="shared" si="6"/>
        <v>Thibaut Meyer</v>
      </c>
      <c r="P365" s="18">
        <v>6</v>
      </c>
    </row>
    <row r="366" spans="1:16" x14ac:dyDescent="0.45">
      <c r="A366" s="37">
        <v>365</v>
      </c>
      <c r="B366" s="37" t="s">
        <v>1273</v>
      </c>
      <c r="C366" s="37" t="s">
        <v>881</v>
      </c>
      <c r="D366" s="12" t="s">
        <v>382</v>
      </c>
      <c r="E366" s="12" t="s">
        <v>383</v>
      </c>
      <c r="F366" s="12">
        <v>0</v>
      </c>
      <c r="G366" s="12">
        <v>1</v>
      </c>
      <c r="H366" s="12">
        <v>22</v>
      </c>
      <c r="I366" s="12">
        <v>0</v>
      </c>
      <c r="J366" s="12" t="s">
        <v>43</v>
      </c>
      <c r="K366" s="28">
        <v>1</v>
      </c>
      <c r="N366" t="e">
        <v>#REF!</v>
      </c>
      <c r="O366" t="str">
        <f t="shared" si="6"/>
        <v>Aurélie Marie</v>
      </c>
      <c r="P366" s="18">
        <v>5</v>
      </c>
    </row>
    <row r="367" spans="1:16" x14ac:dyDescent="0.45">
      <c r="A367" s="37">
        <v>366</v>
      </c>
      <c r="B367" s="37" t="s">
        <v>1379</v>
      </c>
      <c r="C367" s="37" t="s">
        <v>1346</v>
      </c>
      <c r="D367" s="12" t="s">
        <v>928</v>
      </c>
      <c r="E367" s="12" t="s">
        <v>929</v>
      </c>
      <c r="F367" s="12">
        <v>0</v>
      </c>
      <c r="G367" s="12">
        <v>0</v>
      </c>
      <c r="H367" s="12"/>
      <c r="I367" s="12">
        <v>0</v>
      </c>
      <c r="J367" s="12" t="s">
        <v>43</v>
      </c>
      <c r="K367" s="28">
        <v>1</v>
      </c>
      <c r="L367" s="9">
        <v>1</v>
      </c>
      <c r="N367" t="e">
        <v>#REF!</v>
      </c>
      <c r="O367" t="str">
        <f t="shared" si="6"/>
        <v>Stéphanie Pottier</v>
      </c>
      <c r="P367" s="18">
        <v>1</v>
      </c>
    </row>
    <row r="368" spans="1:16" x14ac:dyDescent="0.45">
      <c r="A368" s="37">
        <v>367</v>
      </c>
      <c r="B368" s="37" t="s">
        <v>1327</v>
      </c>
      <c r="C368" s="37" t="s">
        <v>1311</v>
      </c>
      <c r="D368" s="12" t="s">
        <v>384</v>
      </c>
      <c r="E368" s="12" t="s">
        <v>385</v>
      </c>
      <c r="F368" s="12">
        <v>0</v>
      </c>
      <c r="G368" s="12">
        <v>1</v>
      </c>
      <c r="H368" s="12">
        <v>13</v>
      </c>
      <c r="I368" s="12">
        <v>0</v>
      </c>
      <c r="J368" s="12" t="s">
        <v>43</v>
      </c>
      <c r="K368" s="28">
        <v>1</v>
      </c>
      <c r="N368" t="e">
        <v>#REF!</v>
      </c>
      <c r="O368" t="str">
        <f t="shared" si="6"/>
        <v>Valentine Baron</v>
      </c>
      <c r="P368" s="18">
        <v>4</v>
      </c>
    </row>
    <row r="369" spans="1:16" x14ac:dyDescent="0.45">
      <c r="A369" s="37">
        <v>368</v>
      </c>
      <c r="B369" s="37" t="s">
        <v>802</v>
      </c>
      <c r="C369" s="37" t="s">
        <v>1299</v>
      </c>
      <c r="D369" s="12"/>
      <c r="E369" s="12"/>
      <c r="F369" s="12">
        <v>0</v>
      </c>
      <c r="G369" s="12">
        <v>0</v>
      </c>
      <c r="H369" s="12"/>
      <c r="I369" s="12">
        <v>1</v>
      </c>
      <c r="J369" s="12" t="s">
        <v>118</v>
      </c>
      <c r="K369" s="28">
        <v>1</v>
      </c>
      <c r="L369" s="9">
        <v>1</v>
      </c>
      <c r="M369" s="9">
        <v>1</v>
      </c>
      <c r="N369" t="e">
        <v>#REF!</v>
      </c>
      <c r="O369" t="str">
        <f t="shared" si="6"/>
        <v>Agathe Blondel</v>
      </c>
      <c r="P369" s="18">
        <v>1</v>
      </c>
    </row>
    <row r="370" spans="1:16" x14ac:dyDescent="0.45">
      <c r="A370" s="37">
        <v>369</v>
      </c>
      <c r="B370" s="37" t="s">
        <v>1381</v>
      </c>
      <c r="C370" s="37" t="s">
        <v>1361</v>
      </c>
      <c r="D370" s="12" t="s">
        <v>930</v>
      </c>
      <c r="E370" s="12" t="s">
        <v>931</v>
      </c>
      <c r="F370" s="12">
        <v>1</v>
      </c>
      <c r="G370" s="12">
        <v>0</v>
      </c>
      <c r="H370" s="12">
        <v>18</v>
      </c>
      <c r="I370" s="12">
        <v>0</v>
      </c>
      <c r="J370" s="12" t="s">
        <v>43</v>
      </c>
      <c r="K370" s="28" t="s">
        <v>487</v>
      </c>
      <c r="N370" t="e">
        <v>#REF!</v>
      </c>
      <c r="O370" t="str">
        <f t="shared" si="6"/>
        <v>Nath Marty</v>
      </c>
      <c r="P370" s="18">
        <v>7</v>
      </c>
    </row>
    <row r="371" spans="1:16" x14ac:dyDescent="0.45">
      <c r="A371" s="37">
        <v>370</v>
      </c>
      <c r="B371" s="37" t="s">
        <v>1258</v>
      </c>
      <c r="C371" s="37" t="s">
        <v>1540</v>
      </c>
      <c r="D371" s="12" t="s">
        <v>932</v>
      </c>
      <c r="E371" s="12" t="s">
        <v>933</v>
      </c>
      <c r="F371" s="12">
        <v>1</v>
      </c>
      <c r="G371" s="12">
        <v>0</v>
      </c>
      <c r="H371" s="12">
        <v>27</v>
      </c>
      <c r="I371" s="12">
        <v>0</v>
      </c>
      <c r="J371" s="12" t="s">
        <v>43</v>
      </c>
      <c r="K371" s="28" t="s">
        <v>478</v>
      </c>
      <c r="N371" t="e">
        <v>#REF!</v>
      </c>
      <c r="O371" t="str">
        <f t="shared" si="6"/>
        <v>Émilie Charrier</v>
      </c>
      <c r="P371" s="18">
        <v>2</v>
      </c>
    </row>
    <row r="372" spans="1:16" x14ac:dyDescent="0.45">
      <c r="A372" s="37">
        <v>371</v>
      </c>
      <c r="B372" s="37" t="s">
        <v>50</v>
      </c>
      <c r="C372" s="37" t="s">
        <v>1541</v>
      </c>
      <c r="D372" s="12" t="s">
        <v>934</v>
      </c>
      <c r="E372" s="12" t="s">
        <v>935</v>
      </c>
      <c r="F372" s="12">
        <v>1</v>
      </c>
      <c r="G372" s="12">
        <v>0</v>
      </c>
      <c r="H372" s="12">
        <v>24</v>
      </c>
      <c r="I372" s="12">
        <v>0</v>
      </c>
      <c r="J372" s="12" t="s">
        <v>43</v>
      </c>
      <c r="K372" s="28" t="s">
        <v>478</v>
      </c>
      <c r="N372" t="e">
        <v>#REF!</v>
      </c>
      <c r="O372" t="str">
        <f t="shared" si="6"/>
        <v>Julien Teixeira</v>
      </c>
      <c r="P372" s="18">
        <v>6</v>
      </c>
    </row>
    <row r="373" spans="1:16" x14ac:dyDescent="0.45">
      <c r="A373" s="37">
        <v>372</v>
      </c>
      <c r="B373" s="37" t="s">
        <v>1226</v>
      </c>
      <c r="C373" s="37" t="s">
        <v>1531</v>
      </c>
      <c r="D373" s="12" t="s">
        <v>936</v>
      </c>
      <c r="E373" s="12" t="s">
        <v>937</v>
      </c>
      <c r="F373" s="12">
        <v>1</v>
      </c>
      <c r="G373" s="12">
        <v>0</v>
      </c>
      <c r="H373" s="12">
        <v>20</v>
      </c>
      <c r="I373" s="12">
        <v>0</v>
      </c>
      <c r="J373" s="12" t="s">
        <v>43</v>
      </c>
      <c r="K373" s="28" t="s">
        <v>478</v>
      </c>
      <c r="N373" t="e">
        <v>#REF!</v>
      </c>
      <c r="O373" t="str">
        <f t="shared" si="6"/>
        <v>Élise Bodin</v>
      </c>
      <c r="P373" s="18">
        <v>8</v>
      </c>
    </row>
    <row r="374" spans="1:16" x14ac:dyDescent="0.45">
      <c r="A374" s="37">
        <v>373</v>
      </c>
      <c r="B374" s="37" t="s">
        <v>1444</v>
      </c>
      <c r="C374" s="37" t="s">
        <v>1488</v>
      </c>
      <c r="D374" s="12" t="s">
        <v>938</v>
      </c>
      <c r="E374" s="12" t="s">
        <v>939</v>
      </c>
      <c r="F374" s="12">
        <v>1</v>
      </c>
      <c r="G374" s="12">
        <v>0</v>
      </c>
      <c r="H374" s="12">
        <v>15</v>
      </c>
      <c r="I374" s="12">
        <v>0</v>
      </c>
      <c r="J374" s="12" t="s">
        <v>43</v>
      </c>
      <c r="K374" s="28" t="s">
        <v>478</v>
      </c>
      <c r="N374" t="e">
        <v>#REF!</v>
      </c>
      <c r="O374" t="str">
        <f t="shared" si="6"/>
        <v>Maryse Martins</v>
      </c>
      <c r="P374" s="18">
        <v>2</v>
      </c>
    </row>
    <row r="375" spans="1:16" x14ac:dyDescent="0.45">
      <c r="A375" s="37">
        <v>374</v>
      </c>
      <c r="B375" s="37" t="s">
        <v>1383</v>
      </c>
      <c r="C375" s="37" t="s">
        <v>1372</v>
      </c>
      <c r="D375" s="12" t="s">
        <v>141</v>
      </c>
      <c r="E375" s="12" t="s">
        <v>142</v>
      </c>
      <c r="F375" s="12">
        <v>0</v>
      </c>
      <c r="G375" s="12">
        <v>0</v>
      </c>
      <c r="H375" s="12"/>
      <c r="I375" s="12">
        <v>1</v>
      </c>
      <c r="J375" s="12" t="s">
        <v>143</v>
      </c>
      <c r="K375" s="28">
        <v>1</v>
      </c>
      <c r="L375" s="9">
        <v>1</v>
      </c>
      <c r="N375" t="e">
        <v>#REF!</v>
      </c>
      <c r="O375" t="str">
        <f t="shared" si="6"/>
        <v>Laetitia Gomes</v>
      </c>
      <c r="P375" s="18">
        <v>1</v>
      </c>
    </row>
    <row r="376" spans="1:16" x14ac:dyDescent="0.45">
      <c r="A376" s="37">
        <v>375</v>
      </c>
      <c r="B376" s="37" t="s">
        <v>542</v>
      </c>
      <c r="C376" s="37" t="s">
        <v>1486</v>
      </c>
      <c r="D376" s="12" t="s">
        <v>940</v>
      </c>
      <c r="E376" s="12" t="s">
        <v>941</v>
      </c>
      <c r="F376" s="12">
        <v>1</v>
      </c>
      <c r="G376" s="12">
        <v>0</v>
      </c>
      <c r="H376" s="12">
        <v>11</v>
      </c>
      <c r="I376" s="12">
        <v>0</v>
      </c>
      <c r="J376" s="12" t="s">
        <v>43</v>
      </c>
      <c r="K376" s="28" t="s">
        <v>478</v>
      </c>
      <c r="N376" t="e">
        <v>#REF!</v>
      </c>
      <c r="O376" t="str">
        <f t="shared" si="6"/>
        <v>Nicolas Leroy</v>
      </c>
      <c r="P376" s="18">
        <v>4</v>
      </c>
    </row>
    <row r="377" spans="1:16" x14ac:dyDescent="0.45">
      <c r="A377" s="37">
        <v>376</v>
      </c>
      <c r="B377" s="37" t="s">
        <v>1542</v>
      </c>
      <c r="C377" s="37" t="s">
        <v>1543</v>
      </c>
      <c r="D377" s="12" t="s">
        <v>942</v>
      </c>
      <c r="E377" s="12" t="s">
        <v>943</v>
      </c>
      <c r="F377" s="12">
        <v>1</v>
      </c>
      <c r="G377" s="12">
        <v>0</v>
      </c>
      <c r="H377" s="12">
        <v>11</v>
      </c>
      <c r="I377" s="12">
        <v>0</v>
      </c>
      <c r="J377" s="12" t="s">
        <v>43</v>
      </c>
      <c r="K377" s="28" t="s">
        <v>478</v>
      </c>
      <c r="N377" t="e">
        <v>#REF!</v>
      </c>
      <c r="O377" t="str">
        <f t="shared" si="6"/>
        <v>Noémi Gay</v>
      </c>
      <c r="P377" s="18">
        <v>4</v>
      </c>
    </row>
    <row r="378" spans="1:16" x14ac:dyDescent="0.45">
      <c r="A378" s="37">
        <v>377</v>
      </c>
      <c r="B378" s="37" t="s">
        <v>1371</v>
      </c>
      <c r="C378" s="37" t="s">
        <v>1384</v>
      </c>
      <c r="D378" s="12" t="s">
        <v>386</v>
      </c>
      <c r="E378" s="12" t="s">
        <v>387</v>
      </c>
      <c r="F378" s="12">
        <v>0</v>
      </c>
      <c r="G378" s="12">
        <v>1</v>
      </c>
      <c r="H378" s="12">
        <v>14</v>
      </c>
      <c r="I378" s="12">
        <v>0</v>
      </c>
      <c r="J378" s="12" t="s">
        <v>43</v>
      </c>
      <c r="K378" s="28">
        <v>1</v>
      </c>
      <c r="N378" t="e">
        <v>#REF!</v>
      </c>
      <c r="O378" t="str">
        <f t="shared" si="6"/>
        <v>Jean Hoarau</v>
      </c>
      <c r="P378" s="18">
        <v>7</v>
      </c>
    </row>
    <row r="379" spans="1:16" x14ac:dyDescent="0.45">
      <c r="A379" s="37">
        <v>378</v>
      </c>
      <c r="B379" s="37" t="s">
        <v>1254</v>
      </c>
      <c r="C379" s="37" t="s">
        <v>1255</v>
      </c>
      <c r="D379" s="12" t="s">
        <v>388</v>
      </c>
      <c r="E379" s="12" t="s">
        <v>389</v>
      </c>
      <c r="F379" s="12">
        <v>0</v>
      </c>
      <c r="G379" s="12">
        <v>1</v>
      </c>
      <c r="H379" s="12">
        <v>19</v>
      </c>
      <c r="I379" s="12">
        <v>0</v>
      </c>
      <c r="J379" s="12" t="s">
        <v>43</v>
      </c>
      <c r="K379" s="28">
        <v>1</v>
      </c>
      <c r="N379" t="e">
        <v>#REF!</v>
      </c>
      <c r="O379" t="str">
        <f t="shared" si="6"/>
        <v>Gilbert Paris</v>
      </c>
      <c r="P379" s="18">
        <v>3</v>
      </c>
    </row>
    <row r="380" spans="1:16" x14ac:dyDescent="0.45">
      <c r="A380" s="37">
        <v>379</v>
      </c>
      <c r="B380" s="37" t="s">
        <v>1423</v>
      </c>
      <c r="C380" s="37" t="s">
        <v>1229</v>
      </c>
      <c r="D380" s="12" t="s">
        <v>944</v>
      </c>
      <c r="E380" s="12" t="s">
        <v>945</v>
      </c>
      <c r="F380" s="12">
        <v>1</v>
      </c>
      <c r="G380" s="12">
        <v>0</v>
      </c>
      <c r="H380" s="12">
        <v>37</v>
      </c>
      <c r="I380" s="12">
        <v>0</v>
      </c>
      <c r="J380" s="12" t="s">
        <v>43</v>
      </c>
      <c r="K380" s="28" t="s">
        <v>478</v>
      </c>
      <c r="N380" t="e">
        <v>#REF!</v>
      </c>
      <c r="O380" t="str">
        <f t="shared" si="6"/>
        <v>Brigitte Merle</v>
      </c>
      <c r="P380" s="18">
        <v>5</v>
      </c>
    </row>
    <row r="381" spans="1:16" x14ac:dyDescent="0.45">
      <c r="A381" s="37">
        <v>380</v>
      </c>
      <c r="B381" s="37" t="s">
        <v>59</v>
      </c>
      <c r="C381" s="37" t="s">
        <v>1370</v>
      </c>
      <c r="D381" s="12" t="s">
        <v>946</v>
      </c>
      <c r="E381" s="12" t="s">
        <v>947</v>
      </c>
      <c r="F381" s="12">
        <v>1</v>
      </c>
      <c r="G381" s="12">
        <v>0</v>
      </c>
      <c r="H381" s="12">
        <v>33</v>
      </c>
      <c r="I381" s="12">
        <v>0</v>
      </c>
      <c r="J381" s="12" t="s">
        <v>43</v>
      </c>
      <c r="K381" s="28" t="s">
        <v>478</v>
      </c>
      <c r="N381" t="e">
        <v>#REF!</v>
      </c>
      <c r="O381" t="str">
        <f t="shared" si="6"/>
        <v>Juliette Delahaye</v>
      </c>
      <c r="P381" s="18">
        <v>8</v>
      </c>
    </row>
    <row r="382" spans="1:16" x14ac:dyDescent="0.45">
      <c r="A382" s="37">
        <v>381</v>
      </c>
      <c r="B382" s="37" t="s">
        <v>1544</v>
      </c>
      <c r="C382" s="37" t="s">
        <v>1450</v>
      </c>
      <c r="D382" s="12" t="s">
        <v>390</v>
      </c>
      <c r="E382" s="12" t="s">
        <v>391</v>
      </c>
      <c r="F382" s="12">
        <v>0</v>
      </c>
      <c r="G382" s="12">
        <v>1</v>
      </c>
      <c r="H382" s="12">
        <v>15</v>
      </c>
      <c r="I382" s="12">
        <v>0</v>
      </c>
      <c r="J382" s="12" t="s">
        <v>43</v>
      </c>
      <c r="K382" s="28">
        <v>1</v>
      </c>
      <c r="N382" t="e">
        <v>#REF!</v>
      </c>
      <c r="O382" t="str">
        <f t="shared" si="6"/>
        <v>Alphonse Le Gall</v>
      </c>
      <c r="P382" s="18">
        <v>2</v>
      </c>
    </row>
    <row r="383" spans="1:16" x14ac:dyDescent="0.45">
      <c r="A383" s="37">
        <v>382</v>
      </c>
      <c r="B383" s="37" t="s">
        <v>1373</v>
      </c>
      <c r="C383" s="37" t="s">
        <v>1545</v>
      </c>
      <c r="D383" s="12" t="s">
        <v>392</v>
      </c>
      <c r="E383" s="12" t="s">
        <v>393</v>
      </c>
      <c r="F383" s="12">
        <v>0</v>
      </c>
      <c r="G383" s="12">
        <v>1</v>
      </c>
      <c r="H383" s="12">
        <v>30</v>
      </c>
      <c r="I383" s="12">
        <v>0</v>
      </c>
      <c r="J383" s="12" t="s">
        <v>43</v>
      </c>
      <c r="K383" s="28">
        <v>1</v>
      </c>
      <c r="N383" t="e">
        <v>#REF!</v>
      </c>
      <c r="O383" t="str">
        <f t="shared" si="6"/>
        <v>Alexandria Hoareau</v>
      </c>
      <c r="P383" s="18">
        <v>8</v>
      </c>
    </row>
    <row r="384" spans="1:16" x14ac:dyDescent="0.45">
      <c r="A384" s="37">
        <v>383</v>
      </c>
      <c r="B384" s="37" t="s">
        <v>1546</v>
      </c>
      <c r="C384" s="37" t="s">
        <v>1533</v>
      </c>
      <c r="D384" s="12" t="s">
        <v>144</v>
      </c>
      <c r="E384" s="12" t="s">
        <v>145</v>
      </c>
      <c r="F384" s="12">
        <v>0</v>
      </c>
      <c r="G384" s="12">
        <v>0</v>
      </c>
      <c r="H384" s="12"/>
      <c r="I384" s="12">
        <v>1</v>
      </c>
      <c r="J384" s="12" t="s">
        <v>106</v>
      </c>
      <c r="K384" s="28">
        <v>1</v>
      </c>
      <c r="L384" s="9">
        <v>3</v>
      </c>
      <c r="M384" s="9">
        <v>1</v>
      </c>
      <c r="N384" t="e">
        <v>#REF!</v>
      </c>
      <c r="O384" t="str">
        <f t="shared" si="6"/>
        <v>Lorraine Bouvet</v>
      </c>
      <c r="P384" s="18">
        <v>3</v>
      </c>
    </row>
    <row r="385" spans="1:16" x14ac:dyDescent="0.45">
      <c r="A385" s="37">
        <v>384</v>
      </c>
      <c r="B385" s="37" t="s">
        <v>1431</v>
      </c>
      <c r="C385" s="37" t="s">
        <v>1312</v>
      </c>
      <c r="D385" s="12" t="s">
        <v>948</v>
      </c>
      <c r="E385" s="12" t="s">
        <v>949</v>
      </c>
      <c r="F385" s="12">
        <v>1</v>
      </c>
      <c r="G385" s="12">
        <v>0</v>
      </c>
      <c r="H385" s="12">
        <v>30</v>
      </c>
      <c r="I385" s="12">
        <v>0</v>
      </c>
      <c r="J385" s="12" t="s">
        <v>43</v>
      </c>
      <c r="K385" s="28" t="s">
        <v>487</v>
      </c>
      <c r="N385" t="e">
        <v>#REF!</v>
      </c>
      <c r="O385" t="str">
        <f t="shared" si="6"/>
        <v>Laurence Bigot</v>
      </c>
      <c r="P385" s="18">
        <v>8</v>
      </c>
    </row>
    <row r="386" spans="1:16" x14ac:dyDescent="0.45">
      <c r="A386" s="37">
        <v>385</v>
      </c>
      <c r="B386" s="37" t="s">
        <v>1547</v>
      </c>
      <c r="C386" s="37" t="s">
        <v>1467</v>
      </c>
      <c r="D386" s="12" t="s">
        <v>950</v>
      </c>
      <c r="E386" s="12" t="s">
        <v>43</v>
      </c>
      <c r="F386" s="12">
        <v>1</v>
      </c>
      <c r="G386" s="12">
        <v>0</v>
      </c>
      <c r="H386" s="12">
        <v>12</v>
      </c>
      <c r="I386" s="12">
        <v>0</v>
      </c>
      <c r="J386" s="12" t="s">
        <v>43</v>
      </c>
      <c r="K386" s="28" t="s">
        <v>487</v>
      </c>
      <c r="N386" t="e">
        <v>#REF!</v>
      </c>
      <c r="O386" t="str">
        <f t="shared" si="6"/>
        <v>Audrey Schneider</v>
      </c>
      <c r="P386" s="18">
        <v>1</v>
      </c>
    </row>
    <row r="387" spans="1:16" x14ac:dyDescent="0.45">
      <c r="A387" s="37">
        <v>386</v>
      </c>
      <c r="B387" s="37" t="s">
        <v>1260</v>
      </c>
      <c r="C387" s="37" t="s">
        <v>1548</v>
      </c>
      <c r="D387" s="12" t="s">
        <v>951</v>
      </c>
      <c r="E387" s="12" t="s">
        <v>952</v>
      </c>
      <c r="F387" s="12">
        <v>1</v>
      </c>
      <c r="G387" s="12">
        <v>0</v>
      </c>
      <c r="H387" s="12">
        <v>15</v>
      </c>
      <c r="I387" s="12">
        <v>0</v>
      </c>
      <c r="J387" s="12" t="s">
        <v>43</v>
      </c>
      <c r="K387" s="28" t="s">
        <v>478</v>
      </c>
      <c r="N387" t="e">
        <v>#REF!</v>
      </c>
      <c r="O387" t="str">
        <f t="shared" si="6"/>
        <v>Georges Pruvost</v>
      </c>
      <c r="P387" s="18">
        <v>2</v>
      </c>
    </row>
    <row r="388" spans="1:16" x14ac:dyDescent="0.45">
      <c r="A388" s="37">
        <v>387</v>
      </c>
      <c r="B388" s="37" t="s">
        <v>1497</v>
      </c>
      <c r="C388" s="37" t="s">
        <v>1549</v>
      </c>
      <c r="D388" s="12" t="s">
        <v>953</v>
      </c>
      <c r="E388" s="12" t="s">
        <v>954</v>
      </c>
      <c r="F388" s="12">
        <v>1</v>
      </c>
      <c r="G388" s="12">
        <v>0</v>
      </c>
      <c r="H388" s="12">
        <v>11</v>
      </c>
      <c r="I388" s="12">
        <v>0</v>
      </c>
      <c r="J388" s="12" t="s">
        <v>43</v>
      </c>
      <c r="K388" s="28" t="s">
        <v>487</v>
      </c>
      <c r="N388" t="e">
        <v>#REF!</v>
      </c>
      <c r="O388" t="str">
        <f t="shared" si="6"/>
        <v>Jeannine Marchand</v>
      </c>
      <c r="P388" s="18">
        <v>4</v>
      </c>
    </row>
    <row r="389" spans="1:16" x14ac:dyDescent="0.45">
      <c r="A389" s="37">
        <v>388</v>
      </c>
      <c r="B389" s="37" t="s">
        <v>1426</v>
      </c>
      <c r="C389" s="37" t="s">
        <v>1550</v>
      </c>
      <c r="D389" s="12" t="s">
        <v>394</v>
      </c>
      <c r="E389" s="12" t="s">
        <v>395</v>
      </c>
      <c r="F389" s="12">
        <v>0</v>
      </c>
      <c r="G389" s="12">
        <v>1</v>
      </c>
      <c r="H389" s="12">
        <v>35</v>
      </c>
      <c r="I389" s="12">
        <v>0</v>
      </c>
      <c r="J389" s="12" t="s">
        <v>43</v>
      </c>
      <c r="K389" s="28">
        <v>1</v>
      </c>
      <c r="N389" t="e">
        <v>#REF!</v>
      </c>
      <c r="O389" t="str">
        <f t="shared" si="6"/>
        <v>Odette Laroche</v>
      </c>
      <c r="P389" s="18">
        <v>9</v>
      </c>
    </row>
    <row r="390" spans="1:16" x14ac:dyDescent="0.45">
      <c r="A390" s="37">
        <v>389</v>
      </c>
      <c r="B390" s="37" t="s">
        <v>1291</v>
      </c>
      <c r="C390" s="37" t="s">
        <v>1233</v>
      </c>
      <c r="D390" s="12" t="s">
        <v>955</v>
      </c>
      <c r="E390" s="12" t="s">
        <v>956</v>
      </c>
      <c r="F390" s="12">
        <v>1</v>
      </c>
      <c r="G390" s="12">
        <v>0</v>
      </c>
      <c r="H390" s="12">
        <v>37</v>
      </c>
      <c r="I390" s="12">
        <v>0</v>
      </c>
      <c r="J390" s="12" t="s">
        <v>43</v>
      </c>
      <c r="K390" s="28" t="s">
        <v>478</v>
      </c>
      <c r="N390" t="e">
        <v>#REF!</v>
      </c>
      <c r="O390" t="str">
        <f t="shared" si="6"/>
        <v>Noël Jourdan</v>
      </c>
      <c r="P390" s="18">
        <v>5</v>
      </c>
    </row>
    <row r="391" spans="1:16" x14ac:dyDescent="0.45">
      <c r="A391" s="37">
        <v>390</v>
      </c>
      <c r="B391" s="37" t="s">
        <v>1529</v>
      </c>
      <c r="C391" s="37" t="s">
        <v>88</v>
      </c>
      <c r="D391" s="12" t="s">
        <v>957</v>
      </c>
      <c r="E391" s="12" t="s">
        <v>958</v>
      </c>
      <c r="F391" s="12">
        <v>1</v>
      </c>
      <c r="G391" s="12">
        <v>0</v>
      </c>
      <c r="H391" s="12">
        <v>39</v>
      </c>
      <c r="I391" s="12">
        <v>0</v>
      </c>
      <c r="J391" s="12" t="s">
        <v>43</v>
      </c>
      <c r="K391" s="28" t="s">
        <v>478</v>
      </c>
      <c r="N391" t="e">
        <v>#REF!</v>
      </c>
      <c r="O391" t="str">
        <f t="shared" si="6"/>
        <v>Adèle Arnaud</v>
      </c>
      <c r="P391" s="18">
        <v>3</v>
      </c>
    </row>
    <row r="392" spans="1:16" x14ac:dyDescent="0.45">
      <c r="A392" s="37">
        <v>391</v>
      </c>
      <c r="B392" s="37" t="s">
        <v>1463</v>
      </c>
      <c r="C392" s="37" t="s">
        <v>1229</v>
      </c>
      <c r="D392" s="12" t="s">
        <v>396</v>
      </c>
      <c r="E392" s="12" t="s">
        <v>397</v>
      </c>
      <c r="F392" s="12">
        <v>0</v>
      </c>
      <c r="G392" s="12">
        <v>1</v>
      </c>
      <c r="H392" s="12">
        <v>13</v>
      </c>
      <c r="I392" s="12">
        <v>0</v>
      </c>
      <c r="J392" s="12" t="s">
        <v>43</v>
      </c>
      <c r="K392" s="28">
        <v>1</v>
      </c>
      <c r="N392" t="e">
        <v>#REF!</v>
      </c>
      <c r="O392" t="str">
        <f t="shared" si="6"/>
        <v>Hugues Merle</v>
      </c>
      <c r="P392" s="18">
        <v>4</v>
      </c>
    </row>
    <row r="393" spans="1:16" x14ac:dyDescent="0.45">
      <c r="A393" s="37">
        <v>392</v>
      </c>
      <c r="B393" s="37" t="s">
        <v>1551</v>
      </c>
      <c r="C393" s="37" t="s">
        <v>1441</v>
      </c>
      <c r="D393" s="12" t="s">
        <v>960</v>
      </c>
      <c r="E393" s="12" t="s">
        <v>961</v>
      </c>
      <c r="F393" s="12">
        <v>1</v>
      </c>
      <c r="G393" s="12">
        <v>0</v>
      </c>
      <c r="H393" s="12">
        <v>15</v>
      </c>
      <c r="I393" s="12">
        <v>0</v>
      </c>
      <c r="J393" s="12" t="s">
        <v>43</v>
      </c>
      <c r="K393" s="28" t="s">
        <v>478</v>
      </c>
      <c r="N393" t="e">
        <v>#REF!</v>
      </c>
      <c r="O393" t="str">
        <f t="shared" si="6"/>
        <v>Roger Jacquet</v>
      </c>
      <c r="P393" s="18">
        <v>2</v>
      </c>
    </row>
    <row r="394" spans="1:16" x14ac:dyDescent="0.45">
      <c r="A394" s="37">
        <v>393</v>
      </c>
      <c r="B394" s="37" t="s">
        <v>679</v>
      </c>
      <c r="C394" s="37" t="s">
        <v>1552</v>
      </c>
      <c r="D394" s="12" t="s">
        <v>962</v>
      </c>
      <c r="E394" s="12" t="s">
        <v>963</v>
      </c>
      <c r="F394" s="12">
        <v>1</v>
      </c>
      <c r="G394" s="12">
        <v>0</v>
      </c>
      <c r="H394" s="12">
        <v>22</v>
      </c>
      <c r="I394" s="12">
        <v>0</v>
      </c>
      <c r="J394" s="12" t="s">
        <v>43</v>
      </c>
      <c r="K394" s="28" t="s">
        <v>487</v>
      </c>
      <c r="N394" t="e">
        <v>#REF!</v>
      </c>
      <c r="O394" t="str">
        <f t="shared" si="6"/>
        <v>Vincent Vallet</v>
      </c>
      <c r="P394" s="18">
        <v>5</v>
      </c>
    </row>
    <row r="395" spans="1:16" x14ac:dyDescent="0.45">
      <c r="A395" s="37">
        <v>394</v>
      </c>
      <c r="B395" s="37" t="s">
        <v>1306</v>
      </c>
      <c r="C395" s="37" t="s">
        <v>1553</v>
      </c>
      <c r="D395" s="12" t="s">
        <v>964</v>
      </c>
      <c r="E395" s="12" t="s">
        <v>965</v>
      </c>
      <c r="F395" s="12">
        <v>1</v>
      </c>
      <c r="G395" s="12">
        <v>0</v>
      </c>
      <c r="H395" s="12">
        <v>31</v>
      </c>
      <c r="I395" s="12">
        <v>0</v>
      </c>
      <c r="J395" s="12" t="s">
        <v>43</v>
      </c>
      <c r="K395" s="28" t="s">
        <v>487</v>
      </c>
      <c r="N395" t="e">
        <v>#REF!</v>
      </c>
      <c r="O395" t="str">
        <f t="shared" si="6"/>
        <v>Michèle Klein</v>
      </c>
      <c r="P395" s="18">
        <v>6</v>
      </c>
    </row>
    <row r="396" spans="1:16" x14ac:dyDescent="0.45">
      <c r="A396" s="37">
        <v>395</v>
      </c>
      <c r="B396" s="37" t="s">
        <v>1436</v>
      </c>
      <c r="C396" s="37" t="s">
        <v>1554</v>
      </c>
      <c r="D396" s="12" t="s">
        <v>398</v>
      </c>
      <c r="E396" s="12" t="s">
        <v>399</v>
      </c>
      <c r="F396" s="12">
        <v>0</v>
      </c>
      <c r="G396" s="12">
        <v>1</v>
      </c>
      <c r="H396" s="12">
        <v>24</v>
      </c>
      <c r="I396" s="12">
        <v>0</v>
      </c>
      <c r="J396" s="12" t="s">
        <v>43</v>
      </c>
      <c r="K396" s="28">
        <v>1</v>
      </c>
      <c r="N396" t="e">
        <v>#REF!</v>
      </c>
      <c r="O396" t="str">
        <f t="shared" si="6"/>
        <v>Richard Benoit</v>
      </c>
      <c r="P396" s="18">
        <v>6</v>
      </c>
    </row>
    <row r="397" spans="1:16" x14ac:dyDescent="0.45">
      <c r="A397" s="37">
        <v>396</v>
      </c>
      <c r="B397" s="37" t="s">
        <v>1216</v>
      </c>
      <c r="C397" s="37" t="s">
        <v>1278</v>
      </c>
      <c r="D397" s="12" t="s">
        <v>400</v>
      </c>
      <c r="E397" s="12" t="s">
        <v>401</v>
      </c>
      <c r="F397" s="12">
        <v>0</v>
      </c>
      <c r="G397" s="12">
        <v>1</v>
      </c>
      <c r="H397" s="12">
        <v>8</v>
      </c>
      <c r="I397" s="12">
        <v>0</v>
      </c>
      <c r="J397" s="12" t="s">
        <v>43</v>
      </c>
      <c r="K397" s="28">
        <v>1</v>
      </c>
      <c r="N397" t="e">
        <v>#REF!</v>
      </c>
      <c r="O397" t="str">
        <f t="shared" si="6"/>
        <v>Robert Delorme</v>
      </c>
      <c r="P397" s="18">
        <v>8</v>
      </c>
    </row>
    <row r="398" spans="1:16" x14ac:dyDescent="0.45">
      <c r="A398" s="37">
        <v>397</v>
      </c>
      <c r="B398" s="37" t="s">
        <v>720</v>
      </c>
      <c r="C398" s="37" t="s">
        <v>1531</v>
      </c>
      <c r="D398" s="12" t="s">
        <v>966</v>
      </c>
      <c r="E398" s="12" t="s">
        <v>967</v>
      </c>
      <c r="F398" s="12">
        <v>1</v>
      </c>
      <c r="G398" s="12">
        <v>0</v>
      </c>
      <c r="H398" s="12">
        <v>7</v>
      </c>
      <c r="I398" s="12">
        <v>0</v>
      </c>
      <c r="J398" s="12" t="s">
        <v>43</v>
      </c>
      <c r="K398" s="28" t="s">
        <v>478</v>
      </c>
      <c r="N398" t="e">
        <v>#REF!</v>
      </c>
      <c r="O398" t="str">
        <f t="shared" si="6"/>
        <v>Benjamin Bodin</v>
      </c>
      <c r="P398" s="18">
        <v>1</v>
      </c>
    </row>
    <row r="399" spans="1:16" x14ac:dyDescent="0.45">
      <c r="A399" s="37">
        <v>398</v>
      </c>
      <c r="B399" s="37" t="s">
        <v>1542</v>
      </c>
      <c r="C399" s="37" t="s">
        <v>1308</v>
      </c>
      <c r="D399" s="12" t="s">
        <v>403</v>
      </c>
      <c r="E399" s="12" t="s">
        <v>404</v>
      </c>
      <c r="F399" s="12">
        <v>0</v>
      </c>
      <c r="G399" s="12">
        <v>1</v>
      </c>
      <c r="H399" s="12">
        <v>27</v>
      </c>
      <c r="I399" s="12">
        <v>0</v>
      </c>
      <c r="J399" s="12" t="s">
        <v>43</v>
      </c>
      <c r="K399" s="28">
        <v>1</v>
      </c>
      <c r="N399" t="e">
        <v>#REF!</v>
      </c>
      <c r="O399" t="str">
        <f t="shared" si="6"/>
        <v>Noémi Chevalier</v>
      </c>
      <c r="P399" s="18">
        <v>2</v>
      </c>
    </row>
    <row r="400" spans="1:16" x14ac:dyDescent="0.45">
      <c r="A400" s="37">
        <v>399</v>
      </c>
      <c r="B400" s="37" t="s">
        <v>1386</v>
      </c>
      <c r="C400" s="37" t="s">
        <v>959</v>
      </c>
      <c r="D400" s="12" t="s">
        <v>968</v>
      </c>
      <c r="E400" s="12" t="s">
        <v>969</v>
      </c>
      <c r="F400" s="12">
        <v>1</v>
      </c>
      <c r="G400" s="12">
        <v>0</v>
      </c>
      <c r="H400" s="12">
        <v>41</v>
      </c>
      <c r="I400" s="12">
        <v>0</v>
      </c>
      <c r="J400" s="12" t="s">
        <v>43</v>
      </c>
      <c r="K400" s="28" t="s">
        <v>478</v>
      </c>
      <c r="L400" s="9">
        <v>9</v>
      </c>
      <c r="N400" t="e">
        <v>#REF!</v>
      </c>
      <c r="O400" t="str">
        <f t="shared" si="6"/>
        <v>Marine Grégoire</v>
      </c>
      <c r="P400" s="18">
        <v>9</v>
      </c>
    </row>
    <row r="401" spans="1:16" x14ac:dyDescent="0.45">
      <c r="A401" s="37">
        <v>400</v>
      </c>
      <c r="B401" s="37" t="s">
        <v>1086</v>
      </c>
      <c r="C401" s="37" t="s">
        <v>1329</v>
      </c>
      <c r="D401" s="12" t="s">
        <v>970</v>
      </c>
      <c r="E401" s="12" t="s">
        <v>971</v>
      </c>
      <c r="F401" s="12">
        <v>1</v>
      </c>
      <c r="G401" s="12">
        <v>0</v>
      </c>
      <c r="H401" s="12">
        <v>19</v>
      </c>
      <c r="I401" s="12">
        <v>0</v>
      </c>
      <c r="J401" s="12" t="s">
        <v>43</v>
      </c>
      <c r="K401" s="28" t="s">
        <v>478</v>
      </c>
      <c r="N401" t="e">
        <v>#REF!</v>
      </c>
      <c r="O401" t="str">
        <f t="shared" si="6"/>
        <v>Marc Dias</v>
      </c>
      <c r="P401" s="18">
        <v>3</v>
      </c>
    </row>
    <row r="402" spans="1:16" x14ac:dyDescent="0.45">
      <c r="A402" s="37">
        <v>401</v>
      </c>
      <c r="B402" s="37" t="s">
        <v>705</v>
      </c>
      <c r="C402" s="37" t="s">
        <v>1555</v>
      </c>
      <c r="D402" s="12" t="s">
        <v>405</v>
      </c>
      <c r="E402" s="12" t="s">
        <v>406</v>
      </c>
      <c r="F402" s="12">
        <v>0</v>
      </c>
      <c r="G402" s="12">
        <v>1</v>
      </c>
      <c r="H402" s="12">
        <v>18</v>
      </c>
      <c r="I402" s="12">
        <v>0</v>
      </c>
      <c r="J402" s="12" t="s">
        <v>43</v>
      </c>
      <c r="K402" s="28">
        <v>1</v>
      </c>
      <c r="N402" t="e">
        <v>#REF!</v>
      </c>
      <c r="O402" t="str">
        <f t="shared" si="6"/>
        <v>Victor Martineau</v>
      </c>
      <c r="P402" s="18">
        <v>7</v>
      </c>
    </row>
    <row r="403" spans="1:16" x14ac:dyDescent="0.45">
      <c r="A403" s="37">
        <v>402</v>
      </c>
      <c r="B403" s="37" t="s">
        <v>1241</v>
      </c>
      <c r="C403" s="37" t="s">
        <v>1556</v>
      </c>
      <c r="D403" s="12" t="s">
        <v>972</v>
      </c>
      <c r="E403" s="12" t="s">
        <v>973</v>
      </c>
      <c r="F403" s="12">
        <v>1</v>
      </c>
      <c r="G403" s="12">
        <v>0</v>
      </c>
      <c r="H403" s="12">
        <v>33</v>
      </c>
      <c r="I403" s="12">
        <v>0</v>
      </c>
      <c r="J403" s="12" t="s">
        <v>43</v>
      </c>
      <c r="K403" s="28" t="s">
        <v>478</v>
      </c>
      <c r="N403" t="e">
        <v>#REF!</v>
      </c>
      <c r="O403" t="str">
        <f t="shared" si="6"/>
        <v>Clémence Fernandes</v>
      </c>
      <c r="P403" s="18">
        <v>8</v>
      </c>
    </row>
    <row r="404" spans="1:16" x14ac:dyDescent="0.45">
      <c r="A404" s="37">
        <v>403</v>
      </c>
      <c r="B404" s="37" t="s">
        <v>1460</v>
      </c>
      <c r="C404" s="37" t="s">
        <v>1557</v>
      </c>
      <c r="D404" s="12" t="s">
        <v>407</v>
      </c>
      <c r="E404" s="12" t="s">
        <v>408</v>
      </c>
      <c r="F404" s="12">
        <v>0</v>
      </c>
      <c r="G404" s="12">
        <v>1</v>
      </c>
      <c r="H404" s="12">
        <v>6</v>
      </c>
      <c r="I404" s="12">
        <v>0</v>
      </c>
      <c r="J404" s="12" t="s">
        <v>43</v>
      </c>
      <c r="K404" s="28">
        <v>1</v>
      </c>
      <c r="N404" t="e">
        <v>#REF!</v>
      </c>
      <c r="O404" t="str">
        <f t="shared" si="6"/>
        <v>Étienne Pascal</v>
      </c>
      <c r="P404" s="18">
        <v>9</v>
      </c>
    </row>
    <row r="405" spans="1:16" x14ac:dyDescent="0.45">
      <c r="A405" s="37">
        <v>404</v>
      </c>
      <c r="B405" s="37" t="s">
        <v>1275</v>
      </c>
      <c r="C405" s="37" t="s">
        <v>1235</v>
      </c>
      <c r="D405" s="12" t="s">
        <v>410</v>
      </c>
      <c r="E405" s="12" t="s">
        <v>411</v>
      </c>
      <c r="F405" s="12">
        <v>0</v>
      </c>
      <c r="G405" s="12">
        <v>1</v>
      </c>
      <c r="H405" s="12">
        <v>41</v>
      </c>
      <c r="I405" s="12">
        <v>0</v>
      </c>
      <c r="J405" s="12" t="s">
        <v>43</v>
      </c>
      <c r="K405" s="28">
        <v>1</v>
      </c>
      <c r="L405" s="9">
        <v>9</v>
      </c>
      <c r="N405" t="e">
        <v>#REF!</v>
      </c>
      <c r="O405" t="str">
        <f t="shared" si="6"/>
        <v>Patrick Descamps</v>
      </c>
      <c r="P405" s="18">
        <v>9</v>
      </c>
    </row>
    <row r="406" spans="1:16" x14ac:dyDescent="0.45">
      <c r="A406" s="37">
        <v>405</v>
      </c>
      <c r="B406" s="37" t="s">
        <v>820</v>
      </c>
      <c r="C406" s="37" t="s">
        <v>1558</v>
      </c>
      <c r="D406" s="12" t="s">
        <v>974</v>
      </c>
      <c r="E406" s="12" t="s">
        <v>975</v>
      </c>
      <c r="F406" s="12">
        <v>1</v>
      </c>
      <c r="G406" s="12">
        <v>0</v>
      </c>
      <c r="H406" s="12">
        <v>28</v>
      </c>
      <c r="I406" s="12">
        <v>0</v>
      </c>
      <c r="J406" s="12" t="s">
        <v>43</v>
      </c>
      <c r="K406" s="28" t="s">
        <v>487</v>
      </c>
      <c r="N406" t="e">
        <v>#REF!</v>
      </c>
      <c r="O406" t="str">
        <f t="shared" si="6"/>
        <v>Luc Guibert</v>
      </c>
      <c r="P406" s="18">
        <v>7</v>
      </c>
    </row>
    <row r="407" spans="1:16" x14ac:dyDescent="0.45">
      <c r="A407" s="37">
        <v>406</v>
      </c>
      <c r="B407" s="37" t="s">
        <v>402</v>
      </c>
      <c r="C407" s="37" t="s">
        <v>1228</v>
      </c>
      <c r="D407" s="12" t="s">
        <v>976</v>
      </c>
      <c r="E407" s="12" t="s">
        <v>977</v>
      </c>
      <c r="F407" s="12">
        <v>1</v>
      </c>
      <c r="G407" s="12">
        <v>0</v>
      </c>
      <c r="H407" s="12">
        <v>28</v>
      </c>
      <c r="I407" s="12">
        <v>0</v>
      </c>
      <c r="J407" s="12" t="s">
        <v>43</v>
      </c>
      <c r="K407" s="28" t="s">
        <v>478</v>
      </c>
      <c r="N407" t="e">
        <v>#REF!</v>
      </c>
      <c r="O407" t="str">
        <f t="shared" si="6"/>
        <v>Alexandre Thierry</v>
      </c>
      <c r="P407" s="18">
        <v>7</v>
      </c>
    </row>
    <row r="408" spans="1:16" x14ac:dyDescent="0.45">
      <c r="A408" s="37">
        <v>407</v>
      </c>
      <c r="B408" s="37" t="s">
        <v>1345</v>
      </c>
      <c r="C408" s="37" t="s">
        <v>1513</v>
      </c>
      <c r="D408" s="12" t="s">
        <v>146</v>
      </c>
      <c r="E408" s="12" t="s">
        <v>147</v>
      </c>
      <c r="F408" s="12">
        <v>0</v>
      </c>
      <c r="G408" s="12">
        <v>0</v>
      </c>
      <c r="H408" s="12"/>
      <c r="I408" s="12">
        <v>1</v>
      </c>
      <c r="J408" s="12" t="s">
        <v>95</v>
      </c>
      <c r="K408" s="28">
        <v>1</v>
      </c>
      <c r="L408" s="9">
        <v>1</v>
      </c>
      <c r="N408" t="e">
        <v>#REF!</v>
      </c>
      <c r="O408" t="str">
        <f t="shared" si="6"/>
        <v>Astrid Pages</v>
      </c>
      <c r="P408" s="18">
        <v>1</v>
      </c>
    </row>
    <row r="409" spans="1:16" x14ac:dyDescent="0.45">
      <c r="A409" s="37">
        <v>408</v>
      </c>
      <c r="B409" s="37" t="s">
        <v>1487</v>
      </c>
      <c r="C409" s="37" t="s">
        <v>1559</v>
      </c>
      <c r="D409" s="12" t="s">
        <v>978</v>
      </c>
      <c r="E409" s="12" t="s">
        <v>979</v>
      </c>
      <c r="F409" s="12">
        <v>1</v>
      </c>
      <c r="G409" s="12">
        <v>0</v>
      </c>
      <c r="H409" s="12">
        <v>13</v>
      </c>
      <c r="I409" s="12">
        <v>0</v>
      </c>
      <c r="J409" s="12" t="s">
        <v>43</v>
      </c>
      <c r="K409" s="28" t="s">
        <v>478</v>
      </c>
      <c r="N409" t="e">
        <v>#REF!</v>
      </c>
      <c r="O409" t="str">
        <f t="shared" si="6"/>
        <v>Susan Maury</v>
      </c>
      <c r="P409" s="18">
        <v>4</v>
      </c>
    </row>
    <row r="410" spans="1:16" x14ac:dyDescent="0.45">
      <c r="A410" s="37">
        <v>409</v>
      </c>
      <c r="B410" s="37" t="s">
        <v>1241</v>
      </c>
      <c r="C410" s="37" t="s">
        <v>1560</v>
      </c>
      <c r="D410" s="12" t="s">
        <v>980</v>
      </c>
      <c r="E410" s="12" t="s">
        <v>981</v>
      </c>
      <c r="F410" s="12">
        <v>1</v>
      </c>
      <c r="G410" s="12">
        <v>0</v>
      </c>
      <c r="H410" s="12">
        <v>17</v>
      </c>
      <c r="I410" s="12">
        <v>0</v>
      </c>
      <c r="J410" s="12" t="s">
        <v>43</v>
      </c>
      <c r="K410" s="28" t="s">
        <v>478</v>
      </c>
      <c r="N410" t="e">
        <v>#REF!</v>
      </c>
      <c r="O410" t="str">
        <f t="shared" si="6"/>
        <v>Clémence Normand</v>
      </c>
      <c r="P410" s="18">
        <v>3</v>
      </c>
    </row>
    <row r="411" spans="1:16" x14ac:dyDescent="0.45">
      <c r="A411" s="37">
        <v>410</v>
      </c>
      <c r="B411" s="37" t="s">
        <v>1561</v>
      </c>
      <c r="C411" s="37" t="s">
        <v>1415</v>
      </c>
      <c r="D411" s="12" t="s">
        <v>982</v>
      </c>
      <c r="E411" s="12" t="s">
        <v>983</v>
      </c>
      <c r="F411" s="12">
        <v>1</v>
      </c>
      <c r="G411" s="12">
        <v>0</v>
      </c>
      <c r="H411" s="12">
        <v>14</v>
      </c>
      <c r="I411" s="12">
        <v>0</v>
      </c>
      <c r="J411" s="12" t="s">
        <v>43</v>
      </c>
      <c r="K411" s="28" t="s">
        <v>478</v>
      </c>
      <c r="N411" t="e">
        <v>#REF!</v>
      </c>
      <c r="O411" t="str">
        <f t="shared" si="6"/>
        <v>Claudine Hamel</v>
      </c>
      <c r="P411" s="18">
        <v>7</v>
      </c>
    </row>
    <row r="412" spans="1:16" x14ac:dyDescent="0.45">
      <c r="A412" s="37">
        <v>411</v>
      </c>
      <c r="B412" s="37" t="s">
        <v>1562</v>
      </c>
      <c r="C412" s="37" t="s">
        <v>1563</v>
      </c>
      <c r="D412" s="12" t="s">
        <v>984</v>
      </c>
      <c r="E412" s="12" t="s">
        <v>985</v>
      </c>
      <c r="F412" s="12">
        <v>1</v>
      </c>
      <c r="G412" s="12">
        <v>0</v>
      </c>
      <c r="H412" s="12">
        <v>15</v>
      </c>
      <c r="I412" s="12">
        <v>0</v>
      </c>
      <c r="J412" s="12" t="s">
        <v>43</v>
      </c>
      <c r="K412" s="28" t="s">
        <v>478</v>
      </c>
      <c r="N412" t="e">
        <v>#REF!</v>
      </c>
      <c r="O412" t="str">
        <f t="shared" si="6"/>
        <v>Bertrand Prévost</v>
      </c>
      <c r="P412" s="18">
        <v>2</v>
      </c>
    </row>
    <row r="413" spans="1:16" x14ac:dyDescent="0.45">
      <c r="A413" s="37">
        <v>412</v>
      </c>
      <c r="B413" s="37" t="s">
        <v>46</v>
      </c>
      <c r="C413" s="37" t="s">
        <v>1389</v>
      </c>
      <c r="D413" s="12" t="s">
        <v>412</v>
      </c>
      <c r="E413" s="12" t="s">
        <v>413</v>
      </c>
      <c r="F413" s="12">
        <v>0</v>
      </c>
      <c r="G413" s="12">
        <v>1</v>
      </c>
      <c r="H413" s="12">
        <v>32</v>
      </c>
      <c r="I413" s="12">
        <v>0</v>
      </c>
      <c r="J413" s="12" t="s">
        <v>43</v>
      </c>
      <c r="K413" s="28">
        <v>1</v>
      </c>
      <c r="N413" t="e">
        <v>#REF!</v>
      </c>
      <c r="O413" t="str">
        <f t="shared" si="6"/>
        <v>Arthur Lenoir</v>
      </c>
      <c r="P413" s="18">
        <v>6</v>
      </c>
    </row>
    <row r="414" spans="1:16" x14ac:dyDescent="0.45">
      <c r="A414" s="37">
        <v>413</v>
      </c>
      <c r="B414" s="37" t="s">
        <v>1564</v>
      </c>
      <c r="C414" s="37" t="s">
        <v>1271</v>
      </c>
      <c r="D414" s="12" t="s">
        <v>986</v>
      </c>
      <c r="E414" s="12" t="s">
        <v>987</v>
      </c>
      <c r="F414" s="12">
        <v>1</v>
      </c>
      <c r="G414" s="12">
        <v>0</v>
      </c>
      <c r="H414" s="12">
        <v>8</v>
      </c>
      <c r="I414" s="12">
        <v>0</v>
      </c>
      <c r="J414" s="12" t="s">
        <v>43</v>
      </c>
      <c r="K414" s="28" t="s">
        <v>478</v>
      </c>
      <c r="N414" t="e">
        <v>#REF!</v>
      </c>
      <c r="O414" t="str">
        <f t="shared" si="6"/>
        <v>Pauline Leclerc</v>
      </c>
      <c r="P414" s="18">
        <v>8</v>
      </c>
    </row>
    <row r="415" spans="1:16" x14ac:dyDescent="0.45">
      <c r="A415" s="37">
        <v>414</v>
      </c>
      <c r="B415" s="37" t="s">
        <v>1234</v>
      </c>
      <c r="C415" s="37" t="s">
        <v>1329</v>
      </c>
      <c r="D415" s="15" t="s">
        <v>414</v>
      </c>
      <c r="E415" s="12"/>
      <c r="F415" s="12">
        <v>0</v>
      </c>
      <c r="G415" s="12">
        <v>1</v>
      </c>
      <c r="H415" s="12">
        <v>37</v>
      </c>
      <c r="I415" s="12">
        <v>0</v>
      </c>
      <c r="J415" s="12"/>
      <c r="K415" s="28">
        <v>1</v>
      </c>
      <c r="N415" t="str">
        <f>_xlfn.CONCAT(Tableau1[[#This Row],[BUS (Manuel)]],Tableau1[[#This Row],[Respo (Manuel)]])</f>
        <v/>
      </c>
      <c r="O415" t="str">
        <f t="shared" si="6"/>
        <v>René Dias</v>
      </c>
      <c r="P415" s="18">
        <v>5</v>
      </c>
    </row>
    <row r="416" spans="1:16" x14ac:dyDescent="0.45">
      <c r="A416" s="37">
        <v>415</v>
      </c>
      <c r="B416" s="37" t="s">
        <v>246</v>
      </c>
      <c r="C416" s="37" t="s">
        <v>1274</v>
      </c>
      <c r="D416" s="12" t="s">
        <v>988</v>
      </c>
      <c r="E416" s="12" t="s">
        <v>43</v>
      </c>
      <c r="F416" s="12">
        <v>1</v>
      </c>
      <c r="G416" s="12">
        <v>0</v>
      </c>
      <c r="H416" s="12">
        <v>26</v>
      </c>
      <c r="I416" s="12">
        <v>0</v>
      </c>
      <c r="J416" s="12" t="s">
        <v>43</v>
      </c>
      <c r="K416" s="28" t="s">
        <v>487</v>
      </c>
      <c r="N416" t="e">
        <v>#REF!</v>
      </c>
      <c r="O416" t="str">
        <f t="shared" si="6"/>
        <v>Margot Maillard</v>
      </c>
      <c r="P416" s="18">
        <v>4</v>
      </c>
    </row>
    <row r="417" spans="1:16" x14ac:dyDescent="0.45">
      <c r="A417" s="37">
        <v>416</v>
      </c>
      <c r="B417" s="37" t="s">
        <v>233</v>
      </c>
      <c r="C417" s="37" t="s">
        <v>1565</v>
      </c>
      <c r="D417" s="12" t="s">
        <v>989</v>
      </c>
      <c r="E417" s="12" t="s">
        <v>990</v>
      </c>
      <c r="F417" s="12">
        <v>1</v>
      </c>
      <c r="G417" s="12">
        <v>0</v>
      </c>
      <c r="H417" s="12">
        <v>26</v>
      </c>
      <c r="I417" s="12">
        <v>0</v>
      </c>
      <c r="J417" s="12" t="s">
        <v>43</v>
      </c>
      <c r="K417" s="28" t="s">
        <v>487</v>
      </c>
      <c r="N417" t="e">
        <v>#REF!</v>
      </c>
      <c r="O417" t="str">
        <f t="shared" si="6"/>
        <v>Jules Weber</v>
      </c>
      <c r="P417" s="18">
        <v>4</v>
      </c>
    </row>
    <row r="418" spans="1:16" x14ac:dyDescent="0.45">
      <c r="A418" s="37">
        <v>417</v>
      </c>
      <c r="B418" s="37" t="s">
        <v>1457</v>
      </c>
      <c r="C418" s="37" t="s">
        <v>1488</v>
      </c>
      <c r="D418" s="12" t="s">
        <v>991</v>
      </c>
      <c r="E418" s="12" t="s">
        <v>992</v>
      </c>
      <c r="F418" s="12">
        <v>1</v>
      </c>
      <c r="G418" s="12">
        <v>0</v>
      </c>
      <c r="H418" s="12">
        <v>21</v>
      </c>
      <c r="I418" s="12">
        <v>0</v>
      </c>
      <c r="J418" s="12" t="s">
        <v>43</v>
      </c>
      <c r="K418" s="28" t="s">
        <v>478</v>
      </c>
      <c r="N418" t="e">
        <v>#REF!</v>
      </c>
      <c r="O418" t="str">
        <f t="shared" ref="O418:O481" si="7">_xlfn.CONCAT(B418, " ", C418)</f>
        <v>Jacqueline Martins</v>
      </c>
      <c r="P418" s="18">
        <v>3</v>
      </c>
    </row>
    <row r="419" spans="1:16" x14ac:dyDescent="0.45">
      <c r="A419" s="37">
        <v>418</v>
      </c>
      <c r="B419" s="37" t="s">
        <v>1566</v>
      </c>
      <c r="C419" s="37" t="s">
        <v>1525</v>
      </c>
      <c r="D419" s="12" t="s">
        <v>993</v>
      </c>
      <c r="E419" s="12" t="s">
        <v>994</v>
      </c>
      <c r="F419" s="12">
        <v>1</v>
      </c>
      <c r="G419" s="12">
        <v>0</v>
      </c>
      <c r="H419" s="12">
        <v>26</v>
      </c>
      <c r="I419" s="12">
        <v>0</v>
      </c>
      <c r="J419" s="12" t="s">
        <v>43</v>
      </c>
      <c r="K419" s="28" t="s">
        <v>478</v>
      </c>
      <c r="N419" t="e">
        <v>#REF!</v>
      </c>
      <c r="O419" t="str">
        <f t="shared" si="7"/>
        <v>Éléonore Grenier</v>
      </c>
      <c r="P419" s="18">
        <v>4</v>
      </c>
    </row>
    <row r="420" spans="1:16" x14ac:dyDescent="0.45">
      <c r="A420" s="37">
        <v>419</v>
      </c>
      <c r="B420" s="37" t="s">
        <v>319</v>
      </c>
      <c r="C420" s="37" t="s">
        <v>1450</v>
      </c>
      <c r="D420" s="12" t="s">
        <v>995</v>
      </c>
      <c r="E420" s="12" t="s">
        <v>996</v>
      </c>
      <c r="F420" s="12">
        <v>1</v>
      </c>
      <c r="G420" s="12">
        <v>0</v>
      </c>
      <c r="H420" s="12">
        <v>34</v>
      </c>
      <c r="I420" s="12">
        <v>0</v>
      </c>
      <c r="J420" s="12" t="s">
        <v>43</v>
      </c>
      <c r="K420" s="28" t="s">
        <v>478</v>
      </c>
      <c r="N420" t="e">
        <v>#REF!</v>
      </c>
      <c r="O420" t="str">
        <f t="shared" si="7"/>
        <v>Thibault Le Gall</v>
      </c>
      <c r="P420" s="18">
        <v>3</v>
      </c>
    </row>
    <row r="421" spans="1:16" x14ac:dyDescent="0.45">
      <c r="A421" s="37">
        <v>420</v>
      </c>
      <c r="B421" s="37" t="s">
        <v>1567</v>
      </c>
      <c r="C421" s="37" t="s">
        <v>1524</v>
      </c>
      <c r="D421" s="12" t="s">
        <v>997</v>
      </c>
      <c r="E421" s="12" t="s">
        <v>998</v>
      </c>
      <c r="F421" s="12">
        <v>1</v>
      </c>
      <c r="G421" s="12">
        <v>0</v>
      </c>
      <c r="H421" s="12">
        <v>13</v>
      </c>
      <c r="I421" s="12">
        <v>0</v>
      </c>
      <c r="J421" s="12" t="s">
        <v>43</v>
      </c>
      <c r="K421" s="28" t="s">
        <v>478</v>
      </c>
      <c r="N421" t="e">
        <v>#REF!</v>
      </c>
      <c r="O421" t="str">
        <f t="shared" si="7"/>
        <v>Henri Berthelot</v>
      </c>
      <c r="P421" s="18">
        <v>4</v>
      </c>
    </row>
    <row r="422" spans="1:16" x14ac:dyDescent="0.45">
      <c r="A422" s="37">
        <v>421</v>
      </c>
      <c r="B422" s="37" t="s">
        <v>361</v>
      </c>
      <c r="C422" s="37" t="s">
        <v>1568</v>
      </c>
      <c r="D422" s="12" t="s">
        <v>415</v>
      </c>
      <c r="E422" s="12" t="s">
        <v>416</v>
      </c>
      <c r="F422" s="12">
        <v>0</v>
      </c>
      <c r="G422" s="12">
        <v>1</v>
      </c>
      <c r="H422" s="12">
        <v>33</v>
      </c>
      <c r="I422" s="12">
        <v>0</v>
      </c>
      <c r="J422" s="12" t="s">
        <v>43</v>
      </c>
      <c r="K422" s="28">
        <v>1</v>
      </c>
      <c r="N422" t="e">
        <v>#REF!</v>
      </c>
      <c r="O422" t="str">
        <f t="shared" si="7"/>
        <v>Charlotte Potier</v>
      </c>
      <c r="P422" s="18">
        <v>8</v>
      </c>
    </row>
    <row r="423" spans="1:16" x14ac:dyDescent="0.45">
      <c r="A423" s="37">
        <v>422</v>
      </c>
      <c r="B423" s="37" t="s">
        <v>1333</v>
      </c>
      <c r="C423" s="37" t="s">
        <v>1312</v>
      </c>
      <c r="D423" s="12" t="s">
        <v>999</v>
      </c>
      <c r="E423" s="12" t="s">
        <v>1000</v>
      </c>
      <c r="F423" s="12">
        <v>1</v>
      </c>
      <c r="G423" s="12">
        <v>0</v>
      </c>
      <c r="H423" s="12">
        <v>29</v>
      </c>
      <c r="I423" s="12">
        <v>0</v>
      </c>
      <c r="J423" s="12" t="s">
        <v>43</v>
      </c>
      <c r="K423" s="28" t="s">
        <v>478</v>
      </c>
      <c r="N423" t="e">
        <v>#REF!</v>
      </c>
      <c r="O423" t="str">
        <f t="shared" si="7"/>
        <v>Simone Bigot</v>
      </c>
      <c r="P423" s="18">
        <v>5</v>
      </c>
    </row>
    <row r="424" spans="1:16" x14ac:dyDescent="0.45">
      <c r="A424" s="37">
        <v>423</v>
      </c>
      <c r="B424" s="37" t="s">
        <v>1497</v>
      </c>
      <c r="C424" s="37" t="s">
        <v>1492</v>
      </c>
      <c r="D424" s="12" t="s">
        <v>1001</v>
      </c>
      <c r="E424" s="12" t="s">
        <v>1002</v>
      </c>
      <c r="F424" s="12">
        <v>1</v>
      </c>
      <c r="G424" s="12">
        <v>0</v>
      </c>
      <c r="H424" s="12">
        <v>10</v>
      </c>
      <c r="I424" s="12">
        <v>0</v>
      </c>
      <c r="J424" s="12" t="s">
        <v>43</v>
      </c>
      <c r="K424" s="28" t="s">
        <v>478</v>
      </c>
      <c r="N424" t="e">
        <v>#REF!</v>
      </c>
      <c r="O424" t="str">
        <f t="shared" si="7"/>
        <v>Jeannine Collet</v>
      </c>
      <c r="P424" s="18">
        <v>2</v>
      </c>
    </row>
    <row r="425" spans="1:16" x14ac:dyDescent="0.45">
      <c r="A425" s="37">
        <v>424</v>
      </c>
      <c r="B425" s="37" t="s">
        <v>1300</v>
      </c>
      <c r="C425" s="37" t="s">
        <v>1394</v>
      </c>
      <c r="D425" s="12" t="s">
        <v>1003</v>
      </c>
      <c r="E425" s="12" t="s">
        <v>1004</v>
      </c>
      <c r="F425" s="12">
        <v>1</v>
      </c>
      <c r="G425" s="12">
        <v>0</v>
      </c>
      <c r="H425" s="12">
        <v>37</v>
      </c>
      <c r="I425" s="12">
        <v>0</v>
      </c>
      <c r="J425" s="12" t="s">
        <v>43</v>
      </c>
      <c r="K425" s="28" t="s">
        <v>478</v>
      </c>
      <c r="N425" t="e">
        <v>#REF!</v>
      </c>
      <c r="O425" t="str">
        <f t="shared" si="7"/>
        <v>Dorothée Roussel</v>
      </c>
      <c r="P425" s="18">
        <v>5</v>
      </c>
    </row>
    <row r="426" spans="1:16" x14ac:dyDescent="0.45">
      <c r="A426" s="37">
        <v>425</v>
      </c>
      <c r="B426" s="37" t="s">
        <v>1371</v>
      </c>
      <c r="C426" s="37" t="s">
        <v>1400</v>
      </c>
      <c r="D426" s="12" t="s">
        <v>1005</v>
      </c>
      <c r="E426" s="12" t="s">
        <v>1006</v>
      </c>
      <c r="F426" s="12">
        <v>1</v>
      </c>
      <c r="G426" s="12">
        <v>0</v>
      </c>
      <c r="H426" s="12">
        <v>21</v>
      </c>
      <c r="I426" s="12">
        <v>0</v>
      </c>
      <c r="J426" s="12" t="s">
        <v>43</v>
      </c>
      <c r="K426" s="28" t="s">
        <v>487</v>
      </c>
      <c r="N426" t="e">
        <v>#REF!</v>
      </c>
      <c r="O426" t="str">
        <f t="shared" si="7"/>
        <v>Jean Morin</v>
      </c>
      <c r="P426" s="18">
        <v>3</v>
      </c>
    </row>
    <row r="427" spans="1:16" x14ac:dyDescent="0.45">
      <c r="A427" s="37">
        <v>426</v>
      </c>
      <c r="B427" s="37" t="s">
        <v>1356</v>
      </c>
      <c r="C427" s="37" t="s">
        <v>1559</v>
      </c>
      <c r="D427" s="12" t="s">
        <v>1007</v>
      </c>
      <c r="E427" s="12" t="s">
        <v>1008</v>
      </c>
      <c r="F427" s="12">
        <v>1</v>
      </c>
      <c r="G427" s="12">
        <v>0</v>
      </c>
      <c r="H427" s="12">
        <v>28</v>
      </c>
      <c r="I427" s="12">
        <v>0</v>
      </c>
      <c r="J427" s="12" t="s">
        <v>43</v>
      </c>
      <c r="K427" s="28" t="s">
        <v>478</v>
      </c>
      <c r="N427" t="e">
        <v>#REF!</v>
      </c>
      <c r="O427" t="str">
        <f t="shared" si="7"/>
        <v>Gérard Maury</v>
      </c>
      <c r="P427" s="18">
        <v>7</v>
      </c>
    </row>
    <row r="428" spans="1:16" x14ac:dyDescent="0.45">
      <c r="A428" s="37">
        <v>427</v>
      </c>
      <c r="B428" s="37" t="s">
        <v>820</v>
      </c>
      <c r="C428" s="37" t="s">
        <v>1467</v>
      </c>
      <c r="D428" s="12" t="s">
        <v>1009</v>
      </c>
      <c r="E428" s="12" t="s">
        <v>1010</v>
      </c>
      <c r="F428" s="12">
        <v>1</v>
      </c>
      <c r="G428" s="12">
        <v>0</v>
      </c>
      <c r="H428" s="12">
        <v>8</v>
      </c>
      <c r="I428" s="12">
        <v>0</v>
      </c>
      <c r="J428" s="12" t="s">
        <v>43</v>
      </c>
      <c r="K428" s="28" t="s">
        <v>478</v>
      </c>
      <c r="N428" t="e">
        <v>#REF!</v>
      </c>
      <c r="O428" t="str">
        <f t="shared" si="7"/>
        <v>Luc Schneider</v>
      </c>
      <c r="P428" s="18">
        <v>8</v>
      </c>
    </row>
    <row r="429" spans="1:16" x14ac:dyDescent="0.45">
      <c r="A429" s="37">
        <v>428</v>
      </c>
      <c r="B429" s="37" t="s">
        <v>759</v>
      </c>
      <c r="C429" s="37" t="s">
        <v>1551</v>
      </c>
      <c r="D429" s="12" t="s">
        <v>1011</v>
      </c>
      <c r="E429" s="12" t="s">
        <v>1012</v>
      </c>
      <c r="F429" s="12">
        <v>1</v>
      </c>
      <c r="G429" s="12">
        <v>0</v>
      </c>
      <c r="H429" s="12">
        <v>19</v>
      </c>
      <c r="I429" s="12">
        <v>0</v>
      </c>
      <c r="J429" s="12" t="s">
        <v>43</v>
      </c>
      <c r="K429" s="28" t="s">
        <v>478</v>
      </c>
      <c r="N429" t="e">
        <v>#REF!</v>
      </c>
      <c r="O429" t="str">
        <f t="shared" si="7"/>
        <v>Amélie Roger</v>
      </c>
      <c r="P429" s="18">
        <v>3</v>
      </c>
    </row>
    <row r="430" spans="1:16" x14ac:dyDescent="0.45">
      <c r="A430" s="37">
        <v>429</v>
      </c>
      <c r="B430" s="37" t="s">
        <v>912</v>
      </c>
      <c r="C430" s="37" t="s">
        <v>1558</v>
      </c>
      <c r="D430" s="12" t="s">
        <v>1013</v>
      </c>
      <c r="E430" s="12" t="s">
        <v>1014</v>
      </c>
      <c r="F430" s="12">
        <v>1</v>
      </c>
      <c r="G430" s="12">
        <v>0</v>
      </c>
      <c r="H430" s="12">
        <v>15</v>
      </c>
      <c r="I430" s="12">
        <v>0</v>
      </c>
      <c r="J430" s="12" t="s">
        <v>43</v>
      </c>
      <c r="K430" s="28" t="s">
        <v>478</v>
      </c>
      <c r="N430" t="e">
        <v>#REF!</v>
      </c>
      <c r="O430" t="str">
        <f t="shared" si="7"/>
        <v>Augustin Guibert</v>
      </c>
      <c r="P430" s="18">
        <v>2</v>
      </c>
    </row>
    <row r="431" spans="1:16" x14ac:dyDescent="0.45">
      <c r="A431" s="37">
        <v>430</v>
      </c>
      <c r="B431" s="37" t="s">
        <v>1529</v>
      </c>
      <c r="C431" s="37" t="s">
        <v>1219</v>
      </c>
      <c r="D431" s="12" t="s">
        <v>1015</v>
      </c>
      <c r="E431" s="12" t="s">
        <v>1016</v>
      </c>
      <c r="F431" s="12">
        <v>1</v>
      </c>
      <c r="G431" s="12">
        <v>0</v>
      </c>
      <c r="H431" s="12">
        <v>27</v>
      </c>
      <c r="I431" s="12">
        <v>0</v>
      </c>
      <c r="J431" s="12" t="s">
        <v>43</v>
      </c>
      <c r="K431" s="28" t="s">
        <v>478</v>
      </c>
      <c r="N431" t="e">
        <v>#REF!</v>
      </c>
      <c r="O431" t="str">
        <f t="shared" si="7"/>
        <v>Adèle Clerc</v>
      </c>
      <c r="P431" s="18">
        <v>2</v>
      </c>
    </row>
    <row r="432" spans="1:16" x14ac:dyDescent="0.45">
      <c r="A432" s="37">
        <v>431</v>
      </c>
      <c r="B432" s="37" t="s">
        <v>1230</v>
      </c>
      <c r="C432" s="37" t="s">
        <v>1476</v>
      </c>
      <c r="D432" s="12" t="s">
        <v>417</v>
      </c>
      <c r="E432" s="12" t="s">
        <v>418</v>
      </c>
      <c r="F432" s="12">
        <v>0</v>
      </c>
      <c r="G432" s="12">
        <v>1</v>
      </c>
      <c r="H432" s="12">
        <v>20</v>
      </c>
      <c r="I432" s="12">
        <v>0</v>
      </c>
      <c r="J432" s="12" t="s">
        <v>43</v>
      </c>
      <c r="K432" s="28">
        <v>1</v>
      </c>
      <c r="N432" t="e">
        <v>#REF!</v>
      </c>
      <c r="O432" t="str">
        <f t="shared" si="7"/>
        <v>Céline Weiss</v>
      </c>
      <c r="P432" s="18">
        <v>8</v>
      </c>
    </row>
    <row r="433" spans="1:16" x14ac:dyDescent="0.45">
      <c r="A433" s="37">
        <v>432</v>
      </c>
      <c r="B433" s="37" t="s">
        <v>1279</v>
      </c>
      <c r="C433" s="37" t="s">
        <v>1563</v>
      </c>
      <c r="D433" s="12" t="s">
        <v>148</v>
      </c>
      <c r="E433" s="12" t="s">
        <v>149</v>
      </c>
      <c r="F433" s="12">
        <v>0</v>
      </c>
      <c r="G433" s="12">
        <v>0</v>
      </c>
      <c r="H433" s="12"/>
      <c r="I433" s="12">
        <v>1</v>
      </c>
      <c r="J433" s="12" t="s">
        <v>82</v>
      </c>
      <c r="K433" s="28">
        <v>1</v>
      </c>
      <c r="L433" s="9">
        <v>9</v>
      </c>
      <c r="N433" t="e">
        <v>#REF!</v>
      </c>
      <c r="O433" t="str">
        <f t="shared" si="7"/>
        <v>Joséphine Prévost</v>
      </c>
      <c r="P433" s="18">
        <v>9</v>
      </c>
    </row>
    <row r="434" spans="1:16" x14ac:dyDescent="0.45">
      <c r="A434" s="37">
        <v>433</v>
      </c>
      <c r="B434" s="37" t="s">
        <v>1345</v>
      </c>
      <c r="C434" s="37" t="s">
        <v>1489</v>
      </c>
      <c r="D434" s="12" t="s">
        <v>1017</v>
      </c>
      <c r="E434" s="12" t="s">
        <v>1018</v>
      </c>
      <c r="F434" s="12">
        <v>0</v>
      </c>
      <c r="G434" s="12">
        <v>0</v>
      </c>
      <c r="H434" s="12"/>
      <c r="I434" s="12">
        <v>0</v>
      </c>
      <c r="J434" s="12" t="s">
        <v>43</v>
      </c>
      <c r="K434" s="28">
        <v>1</v>
      </c>
      <c r="L434" s="9">
        <v>9</v>
      </c>
      <c r="N434" t="e">
        <v>#REF!</v>
      </c>
      <c r="O434" t="str">
        <f t="shared" si="7"/>
        <v>Astrid Da Silva</v>
      </c>
      <c r="P434" s="18">
        <v>9</v>
      </c>
    </row>
    <row r="435" spans="1:16" x14ac:dyDescent="0.45">
      <c r="A435" s="37">
        <v>434</v>
      </c>
      <c r="B435" s="37" t="s">
        <v>1324</v>
      </c>
      <c r="C435" s="37" t="s">
        <v>1240</v>
      </c>
      <c r="D435" s="12" t="s">
        <v>1019</v>
      </c>
      <c r="E435" s="12" t="s">
        <v>1020</v>
      </c>
      <c r="F435" s="12">
        <v>0</v>
      </c>
      <c r="G435" s="12">
        <v>0</v>
      </c>
      <c r="H435" s="12"/>
      <c r="I435" s="12">
        <v>0</v>
      </c>
      <c r="J435" s="12" t="s">
        <v>43</v>
      </c>
      <c r="K435" s="28">
        <v>1</v>
      </c>
      <c r="L435" s="9">
        <v>9</v>
      </c>
      <c r="N435" t="e">
        <v>#REF!</v>
      </c>
      <c r="O435" t="str">
        <f t="shared" si="7"/>
        <v>Michel Duhamel</v>
      </c>
      <c r="P435" s="18">
        <v>9</v>
      </c>
    </row>
    <row r="436" spans="1:16" x14ac:dyDescent="0.45">
      <c r="A436" s="37">
        <v>435</v>
      </c>
      <c r="B436" s="37" t="s">
        <v>1569</v>
      </c>
      <c r="C436" s="37" t="s">
        <v>1329</v>
      </c>
      <c r="D436" s="12" t="s">
        <v>1021</v>
      </c>
      <c r="E436" s="12" t="s">
        <v>1022</v>
      </c>
      <c r="F436" s="12">
        <v>1</v>
      </c>
      <c r="G436" s="12">
        <v>0</v>
      </c>
      <c r="H436" s="12">
        <v>27</v>
      </c>
      <c r="I436" s="12">
        <v>0</v>
      </c>
      <c r="J436" s="12" t="s">
        <v>43</v>
      </c>
      <c r="K436" s="28" t="s">
        <v>478</v>
      </c>
      <c r="N436" t="e">
        <v>#REF!</v>
      </c>
      <c r="O436" t="str">
        <f t="shared" si="7"/>
        <v>Denise Dias</v>
      </c>
      <c r="P436" s="18">
        <v>2</v>
      </c>
    </row>
    <row r="437" spans="1:16" x14ac:dyDescent="0.45">
      <c r="A437" s="37">
        <v>436</v>
      </c>
      <c r="B437" s="37" t="s">
        <v>1325</v>
      </c>
      <c r="C437" s="37" t="s">
        <v>1374</v>
      </c>
      <c r="D437" s="12" t="s">
        <v>1025</v>
      </c>
      <c r="E437" s="12" t="s">
        <v>1026</v>
      </c>
      <c r="F437" s="12">
        <v>1</v>
      </c>
      <c r="G437" s="12">
        <v>0</v>
      </c>
      <c r="H437" s="12">
        <v>14</v>
      </c>
      <c r="I437" s="12">
        <v>0</v>
      </c>
      <c r="J437" s="12" t="s">
        <v>43</v>
      </c>
      <c r="K437" s="28" t="s">
        <v>478</v>
      </c>
      <c r="N437" t="e">
        <v>#REF!</v>
      </c>
      <c r="O437" t="str">
        <f t="shared" si="7"/>
        <v>Xavier Rey</v>
      </c>
      <c r="P437" s="18">
        <v>7</v>
      </c>
    </row>
    <row r="438" spans="1:16" x14ac:dyDescent="0.45">
      <c r="A438" s="37">
        <v>437</v>
      </c>
      <c r="B438" s="37" t="s">
        <v>556</v>
      </c>
      <c r="C438" s="37" t="s">
        <v>1570</v>
      </c>
      <c r="D438" s="12" t="s">
        <v>1023</v>
      </c>
      <c r="E438" s="12" t="s">
        <v>1024</v>
      </c>
      <c r="F438" s="12">
        <v>1</v>
      </c>
      <c r="G438" s="12">
        <v>0</v>
      </c>
      <c r="H438" s="12">
        <v>24</v>
      </c>
      <c r="I438" s="12">
        <v>0</v>
      </c>
      <c r="J438" s="12" t="s">
        <v>43</v>
      </c>
      <c r="K438" s="28" t="s">
        <v>478</v>
      </c>
      <c r="N438" t="e">
        <v>#REF!</v>
      </c>
      <c r="O438" t="str">
        <f t="shared" si="7"/>
        <v>Mathilde Renaud</v>
      </c>
      <c r="P438" s="18">
        <v>6</v>
      </c>
    </row>
    <row r="439" spans="1:16" x14ac:dyDescent="0.45">
      <c r="A439" s="37">
        <v>438</v>
      </c>
      <c r="B439" s="37" t="s">
        <v>1288</v>
      </c>
      <c r="C439" s="37" t="s">
        <v>1571</v>
      </c>
      <c r="D439" s="12" t="s">
        <v>1027</v>
      </c>
      <c r="E439" s="12" t="s">
        <v>1028</v>
      </c>
      <c r="F439" s="12">
        <v>1</v>
      </c>
      <c r="G439" s="12">
        <v>0</v>
      </c>
      <c r="H439" s="12">
        <v>25</v>
      </c>
      <c r="I439" s="12">
        <v>0</v>
      </c>
      <c r="J439" s="12" t="s">
        <v>43</v>
      </c>
      <c r="K439" s="28" t="s">
        <v>478</v>
      </c>
      <c r="N439" t="e">
        <v>#REF!</v>
      </c>
      <c r="O439" t="str">
        <f t="shared" si="7"/>
        <v>Christiane Lopes</v>
      </c>
      <c r="P439" s="18">
        <v>2</v>
      </c>
    </row>
    <row r="440" spans="1:16" x14ac:dyDescent="0.45">
      <c r="A440" s="37">
        <v>439</v>
      </c>
      <c r="B440" s="37" t="s">
        <v>588</v>
      </c>
      <c r="C440" s="37" t="s">
        <v>1492</v>
      </c>
      <c r="D440" s="12" t="s">
        <v>1029</v>
      </c>
      <c r="E440" s="12" t="s">
        <v>1030</v>
      </c>
      <c r="F440" s="12">
        <v>1</v>
      </c>
      <c r="G440" s="12">
        <v>0</v>
      </c>
      <c r="H440" s="12">
        <v>23</v>
      </c>
      <c r="I440" s="12">
        <v>0</v>
      </c>
      <c r="J440" s="12" t="s">
        <v>43</v>
      </c>
      <c r="K440" s="28" t="s">
        <v>487</v>
      </c>
      <c r="N440" t="e">
        <v>#REF!</v>
      </c>
      <c r="O440" t="str">
        <f t="shared" si="7"/>
        <v>Jérôme Collet</v>
      </c>
      <c r="P440" s="18">
        <v>5</v>
      </c>
    </row>
    <row r="441" spans="1:16" x14ac:dyDescent="0.45">
      <c r="A441" s="37">
        <v>440</v>
      </c>
      <c r="B441" s="37" t="s">
        <v>1277</v>
      </c>
      <c r="C441" s="37" t="s">
        <v>1409</v>
      </c>
      <c r="D441" s="12" t="s">
        <v>1031</v>
      </c>
      <c r="E441" s="12" t="s">
        <v>1032</v>
      </c>
      <c r="F441" s="12">
        <v>1</v>
      </c>
      <c r="G441" s="12">
        <v>0</v>
      </c>
      <c r="H441" s="12">
        <v>29</v>
      </c>
      <c r="I441" s="12">
        <v>0</v>
      </c>
      <c r="J441" s="12" t="s">
        <v>43</v>
      </c>
      <c r="K441" s="28" t="s">
        <v>478</v>
      </c>
      <c r="N441" t="e">
        <v>#REF!</v>
      </c>
      <c r="O441" t="str">
        <f t="shared" si="7"/>
        <v>Jacques Chauvin</v>
      </c>
      <c r="P441" s="18">
        <v>5</v>
      </c>
    </row>
    <row r="442" spans="1:16" x14ac:dyDescent="0.45">
      <c r="A442" s="37">
        <v>441</v>
      </c>
      <c r="B442" s="37" t="s">
        <v>1379</v>
      </c>
      <c r="C442" s="37" t="s">
        <v>1225</v>
      </c>
      <c r="D442" s="12" t="s">
        <v>1033</v>
      </c>
      <c r="E442" s="12" t="s">
        <v>1034</v>
      </c>
      <c r="F442" s="12">
        <v>1</v>
      </c>
      <c r="G442" s="12">
        <v>0</v>
      </c>
      <c r="H442" s="12">
        <v>20</v>
      </c>
      <c r="I442" s="12">
        <v>0</v>
      </c>
      <c r="J442" s="12" t="s">
        <v>43</v>
      </c>
      <c r="K442" s="28" t="s">
        <v>478</v>
      </c>
      <c r="N442" t="e">
        <v>#REF!</v>
      </c>
      <c r="O442" t="str">
        <f t="shared" si="7"/>
        <v>Stéphanie Ollivier</v>
      </c>
      <c r="P442" s="18">
        <v>8</v>
      </c>
    </row>
    <row r="443" spans="1:16" x14ac:dyDescent="0.45">
      <c r="A443" s="37">
        <v>442</v>
      </c>
      <c r="B443" s="37" t="s">
        <v>1364</v>
      </c>
      <c r="C443" s="37" t="s">
        <v>1572</v>
      </c>
      <c r="D443" s="12" t="s">
        <v>1035</v>
      </c>
      <c r="E443" s="12" t="s">
        <v>1036</v>
      </c>
      <c r="F443" s="12">
        <v>1</v>
      </c>
      <c r="G443" s="12">
        <v>0</v>
      </c>
      <c r="H443" s="12">
        <v>30</v>
      </c>
      <c r="I443" s="12">
        <v>0</v>
      </c>
      <c r="J443" s="12" t="s">
        <v>43</v>
      </c>
      <c r="K443" s="28" t="s">
        <v>478</v>
      </c>
      <c r="N443" t="e">
        <v>#REF!</v>
      </c>
      <c r="O443" t="str">
        <f t="shared" si="7"/>
        <v>Alexandrie Garnier</v>
      </c>
      <c r="P443" s="18">
        <v>8</v>
      </c>
    </row>
    <row r="444" spans="1:16" x14ac:dyDescent="0.45">
      <c r="A444" s="37">
        <v>443</v>
      </c>
      <c r="B444" s="37" t="s">
        <v>1436</v>
      </c>
      <c r="C444" s="37" t="s">
        <v>1313</v>
      </c>
      <c r="D444" s="12" t="s">
        <v>1037</v>
      </c>
      <c r="E444" s="12" t="s">
        <v>1038</v>
      </c>
      <c r="F444" s="12">
        <v>1</v>
      </c>
      <c r="G444" s="12">
        <v>0</v>
      </c>
      <c r="H444" s="12">
        <v>7</v>
      </c>
      <c r="I444" s="12">
        <v>0</v>
      </c>
      <c r="J444" s="12" t="s">
        <v>43</v>
      </c>
      <c r="K444" s="28" t="s">
        <v>478</v>
      </c>
      <c r="N444" t="e">
        <v>#REF!</v>
      </c>
      <c r="O444" t="str">
        <f t="shared" si="7"/>
        <v>Richard Chartier</v>
      </c>
      <c r="P444" s="18">
        <v>1</v>
      </c>
    </row>
    <row r="445" spans="1:16" x14ac:dyDescent="0.45">
      <c r="A445" s="37">
        <v>444</v>
      </c>
      <c r="B445" s="37" t="s">
        <v>50</v>
      </c>
      <c r="C445" s="37" t="s">
        <v>1227</v>
      </c>
      <c r="D445" s="12" t="s">
        <v>1039</v>
      </c>
      <c r="E445" s="12" t="s">
        <v>1040</v>
      </c>
      <c r="F445" s="12">
        <v>1</v>
      </c>
      <c r="G445" s="12">
        <v>0</v>
      </c>
      <c r="H445" s="12">
        <v>13</v>
      </c>
      <c r="I445" s="12">
        <v>0</v>
      </c>
      <c r="J445" s="12" t="s">
        <v>43</v>
      </c>
      <c r="K445" s="28" t="s">
        <v>478</v>
      </c>
      <c r="N445" t="e">
        <v>#REF!</v>
      </c>
      <c r="O445" t="str">
        <f t="shared" si="7"/>
        <v>Julien Langlois</v>
      </c>
      <c r="P445" s="18">
        <v>4</v>
      </c>
    </row>
    <row r="446" spans="1:16" x14ac:dyDescent="0.45">
      <c r="A446" s="37">
        <v>445</v>
      </c>
      <c r="B446" s="37" t="s">
        <v>660</v>
      </c>
      <c r="C446" s="37" t="s">
        <v>1366</v>
      </c>
      <c r="D446" s="12" t="s">
        <v>1041</v>
      </c>
      <c r="E446" s="12" t="s">
        <v>1042</v>
      </c>
      <c r="F446" s="12">
        <v>1</v>
      </c>
      <c r="G446" s="12">
        <v>0</v>
      </c>
      <c r="H446" s="12">
        <v>19</v>
      </c>
      <c r="I446" s="12">
        <v>0</v>
      </c>
      <c r="J446" s="12" t="s">
        <v>43</v>
      </c>
      <c r="K446" s="28" t="s">
        <v>487</v>
      </c>
      <c r="N446" t="e">
        <v>#REF!</v>
      </c>
      <c r="O446" t="str">
        <f t="shared" si="7"/>
        <v>Océane Bernard</v>
      </c>
      <c r="P446" s="18">
        <v>3</v>
      </c>
    </row>
    <row r="447" spans="1:16" x14ac:dyDescent="0.45">
      <c r="A447" s="37">
        <v>446</v>
      </c>
      <c r="B447" s="37" t="s">
        <v>647</v>
      </c>
      <c r="C447" s="37" t="s">
        <v>1233</v>
      </c>
      <c r="D447" s="12" t="s">
        <v>1043</v>
      </c>
      <c r="E447" s="12" t="s">
        <v>1044</v>
      </c>
      <c r="F447" s="12">
        <v>1</v>
      </c>
      <c r="G447" s="12">
        <v>0</v>
      </c>
      <c r="H447" s="12">
        <v>28</v>
      </c>
      <c r="I447" s="12">
        <v>0</v>
      </c>
      <c r="J447" s="12" t="s">
        <v>43</v>
      </c>
      <c r="K447" s="28" t="s">
        <v>478</v>
      </c>
      <c r="N447" t="e">
        <v>#REF!</v>
      </c>
      <c r="O447" t="str">
        <f t="shared" si="7"/>
        <v>Gabriel Jourdan</v>
      </c>
      <c r="P447" s="18">
        <v>7</v>
      </c>
    </row>
    <row r="448" spans="1:16" x14ac:dyDescent="0.45">
      <c r="A448" s="37">
        <v>447</v>
      </c>
      <c r="B448" s="37" t="s">
        <v>246</v>
      </c>
      <c r="C448" s="37" t="s">
        <v>1556</v>
      </c>
      <c r="D448" s="12" t="s">
        <v>1045</v>
      </c>
      <c r="E448" s="12" t="s">
        <v>1046</v>
      </c>
      <c r="F448" s="12">
        <v>1</v>
      </c>
      <c r="G448" s="12">
        <v>0</v>
      </c>
      <c r="H448" s="12">
        <v>25</v>
      </c>
      <c r="I448" s="12">
        <v>0</v>
      </c>
      <c r="J448" s="12" t="s">
        <v>43</v>
      </c>
      <c r="K448" s="28" t="s">
        <v>487</v>
      </c>
      <c r="N448" t="e">
        <v>#REF!</v>
      </c>
      <c r="O448" t="str">
        <f t="shared" si="7"/>
        <v>Margot Fernandes</v>
      </c>
      <c r="P448" s="18">
        <v>2</v>
      </c>
    </row>
    <row r="449" spans="1:16" x14ac:dyDescent="0.45">
      <c r="A449" s="37">
        <v>448</v>
      </c>
      <c r="B449" s="37" t="s">
        <v>402</v>
      </c>
      <c r="C449" s="37" t="s">
        <v>1504</v>
      </c>
      <c r="D449" s="12" t="s">
        <v>1047</v>
      </c>
      <c r="E449" s="12" t="s">
        <v>43</v>
      </c>
      <c r="F449" s="12">
        <v>1</v>
      </c>
      <c r="G449" s="12">
        <v>0</v>
      </c>
      <c r="H449" s="12">
        <v>28</v>
      </c>
      <c r="I449" s="12">
        <v>0</v>
      </c>
      <c r="J449" s="12" t="s">
        <v>43</v>
      </c>
      <c r="K449" s="28" t="s">
        <v>478</v>
      </c>
      <c r="N449" t="e">
        <v>#REF!</v>
      </c>
      <c r="O449" t="str">
        <f t="shared" si="7"/>
        <v>Alexandre Ribeiro</v>
      </c>
      <c r="P449" s="18">
        <v>7</v>
      </c>
    </row>
    <row r="450" spans="1:16" x14ac:dyDescent="0.45">
      <c r="A450" s="37">
        <v>449</v>
      </c>
      <c r="B450" s="37" t="s">
        <v>1418</v>
      </c>
      <c r="C450" s="37" t="s">
        <v>1466</v>
      </c>
      <c r="D450" s="12" t="s">
        <v>57</v>
      </c>
      <c r="E450" s="12" t="s">
        <v>58</v>
      </c>
      <c r="F450" s="12">
        <v>0</v>
      </c>
      <c r="G450" s="12">
        <v>0</v>
      </c>
      <c r="H450" s="12"/>
      <c r="I450" s="12">
        <v>1</v>
      </c>
      <c r="J450" s="12" t="s">
        <v>53</v>
      </c>
      <c r="K450" s="28">
        <v>1</v>
      </c>
      <c r="L450" s="9">
        <v>1</v>
      </c>
      <c r="N450" t="e">
        <v>#REF!</v>
      </c>
      <c r="O450" t="str">
        <f t="shared" si="7"/>
        <v>Paulette Lelièvre</v>
      </c>
      <c r="P450" s="18">
        <v>1</v>
      </c>
    </row>
    <row r="451" spans="1:16" x14ac:dyDescent="0.45">
      <c r="A451" s="37">
        <v>450</v>
      </c>
      <c r="B451" s="37" t="s">
        <v>1460</v>
      </c>
      <c r="C451" s="37" t="s">
        <v>117</v>
      </c>
      <c r="D451" s="12" t="s">
        <v>419</v>
      </c>
      <c r="E451" s="12" t="s">
        <v>420</v>
      </c>
      <c r="F451" s="12">
        <v>0</v>
      </c>
      <c r="G451" s="12">
        <v>1</v>
      </c>
      <c r="H451" s="12">
        <v>15</v>
      </c>
      <c r="I451" s="12">
        <v>0</v>
      </c>
      <c r="J451" s="12" t="s">
        <v>43</v>
      </c>
      <c r="K451" s="28">
        <v>1</v>
      </c>
      <c r="N451" t="e">
        <v>#REF!</v>
      </c>
      <c r="O451" t="str">
        <f t="shared" si="7"/>
        <v>Étienne Lucas</v>
      </c>
      <c r="P451" s="18">
        <v>2</v>
      </c>
    </row>
    <row r="452" spans="1:16" x14ac:dyDescent="0.45">
      <c r="A452" s="37">
        <v>451</v>
      </c>
      <c r="B452" s="37" t="s">
        <v>1228</v>
      </c>
      <c r="C452" s="37" t="s">
        <v>1573</v>
      </c>
      <c r="D452" s="12" t="s">
        <v>421</v>
      </c>
      <c r="E452" s="12" t="s">
        <v>422</v>
      </c>
      <c r="F452" s="12">
        <v>0</v>
      </c>
      <c r="G452" s="12">
        <v>1</v>
      </c>
      <c r="H452" s="12">
        <v>29</v>
      </c>
      <c r="I452" s="12">
        <v>0</v>
      </c>
      <c r="J452" s="12" t="s">
        <v>43</v>
      </c>
      <c r="K452" s="28">
        <v>1</v>
      </c>
      <c r="N452" t="e">
        <v>#REF!</v>
      </c>
      <c r="O452" t="str">
        <f t="shared" si="7"/>
        <v>Thierry Bousquet</v>
      </c>
      <c r="P452" s="18">
        <v>5</v>
      </c>
    </row>
    <row r="453" spans="1:16" x14ac:dyDescent="0.45">
      <c r="A453" s="37">
        <v>452</v>
      </c>
      <c r="B453" s="37" t="s">
        <v>1574</v>
      </c>
      <c r="C453" s="37" t="s">
        <v>1438</v>
      </c>
      <c r="D453" s="12" t="s">
        <v>423</v>
      </c>
      <c r="E453" s="12" t="s">
        <v>424</v>
      </c>
      <c r="F453" s="12">
        <v>0</v>
      </c>
      <c r="G453" s="12">
        <v>1</v>
      </c>
      <c r="H453" s="12">
        <v>16</v>
      </c>
      <c r="I453" s="12">
        <v>0</v>
      </c>
      <c r="J453" s="12" t="s">
        <v>43</v>
      </c>
      <c r="K453" s="28">
        <v>1</v>
      </c>
      <c r="N453" t="e">
        <v>#REF!</v>
      </c>
      <c r="O453" t="str">
        <f t="shared" si="7"/>
        <v>Claire Imbert</v>
      </c>
      <c r="P453" s="18">
        <v>6</v>
      </c>
    </row>
    <row r="454" spans="1:16" x14ac:dyDescent="0.45">
      <c r="A454" s="37">
        <v>453</v>
      </c>
      <c r="B454" s="37" t="s">
        <v>409</v>
      </c>
      <c r="C454" s="37" t="s">
        <v>1575</v>
      </c>
      <c r="D454" s="12" t="s">
        <v>1048</v>
      </c>
      <c r="E454" s="12" t="s">
        <v>1049</v>
      </c>
      <c r="F454" s="12">
        <v>1</v>
      </c>
      <c r="G454" s="12">
        <v>0</v>
      </c>
      <c r="H454" s="12">
        <v>8</v>
      </c>
      <c r="I454" s="12">
        <v>0</v>
      </c>
      <c r="J454" s="12" t="s">
        <v>43</v>
      </c>
      <c r="K454" s="28" t="s">
        <v>478</v>
      </c>
      <c r="N454" t="e">
        <v>#REF!</v>
      </c>
      <c r="O454" t="str">
        <f t="shared" si="7"/>
        <v>Margaux Fernandez</v>
      </c>
      <c r="P454" s="18">
        <v>8</v>
      </c>
    </row>
    <row r="455" spans="1:16" x14ac:dyDescent="0.45">
      <c r="A455" s="37">
        <v>454</v>
      </c>
      <c r="B455" s="37" t="s">
        <v>759</v>
      </c>
      <c r="C455" s="37" t="s">
        <v>1576</v>
      </c>
      <c r="D455" s="12" t="s">
        <v>1050</v>
      </c>
      <c r="E455" s="12" t="s">
        <v>1051</v>
      </c>
      <c r="F455" s="12">
        <v>1</v>
      </c>
      <c r="G455" s="12">
        <v>0</v>
      </c>
      <c r="H455" s="12">
        <v>17</v>
      </c>
      <c r="I455" s="12">
        <v>0</v>
      </c>
      <c r="J455" s="12" t="s">
        <v>43</v>
      </c>
      <c r="K455" s="28" t="s">
        <v>478</v>
      </c>
      <c r="N455" t="e">
        <v>#REF!</v>
      </c>
      <c r="O455" t="str">
        <f t="shared" si="7"/>
        <v>Amélie Duval</v>
      </c>
      <c r="P455" s="18">
        <v>3</v>
      </c>
    </row>
    <row r="456" spans="1:16" x14ac:dyDescent="0.45">
      <c r="A456" s="37">
        <v>455</v>
      </c>
      <c r="B456" s="37" t="s">
        <v>1457</v>
      </c>
      <c r="C456" s="37" t="s">
        <v>1577</v>
      </c>
      <c r="D456" s="12" t="s">
        <v>425</v>
      </c>
      <c r="E456" s="12" t="s">
        <v>426</v>
      </c>
      <c r="F456" s="12">
        <v>0</v>
      </c>
      <c r="G456" s="12">
        <v>1</v>
      </c>
      <c r="H456" s="12">
        <v>16</v>
      </c>
      <c r="I456" s="12">
        <v>0</v>
      </c>
      <c r="J456" s="12" t="s">
        <v>43</v>
      </c>
      <c r="K456" s="28">
        <v>1</v>
      </c>
      <c r="N456" t="e">
        <v>#REF!</v>
      </c>
      <c r="O456" t="str">
        <f t="shared" si="7"/>
        <v>Jacqueline Barre</v>
      </c>
      <c r="P456" s="18">
        <v>6</v>
      </c>
    </row>
    <row r="457" spans="1:16" x14ac:dyDescent="0.45">
      <c r="A457" s="37">
        <v>456</v>
      </c>
      <c r="B457" s="37" t="s">
        <v>269</v>
      </c>
      <c r="C457" s="37" t="s">
        <v>1280</v>
      </c>
      <c r="D457" s="12" t="s">
        <v>1052</v>
      </c>
      <c r="E457" s="12" t="s">
        <v>1053</v>
      </c>
      <c r="F457" s="12">
        <v>1</v>
      </c>
      <c r="G457" s="12">
        <v>0</v>
      </c>
      <c r="H457" s="12">
        <v>10</v>
      </c>
      <c r="I457" s="12">
        <v>0</v>
      </c>
      <c r="J457" s="12" t="s">
        <v>43</v>
      </c>
      <c r="K457" s="28" t="s">
        <v>478</v>
      </c>
      <c r="N457" t="e">
        <v>#REF!</v>
      </c>
      <c r="O457" t="str">
        <f t="shared" si="7"/>
        <v>Louise Marques</v>
      </c>
      <c r="P457" s="18">
        <v>2</v>
      </c>
    </row>
    <row r="458" spans="1:16" x14ac:dyDescent="0.45">
      <c r="A458" s="37">
        <v>457</v>
      </c>
      <c r="B458" s="37" t="s">
        <v>1239</v>
      </c>
      <c r="C458" s="37" t="s">
        <v>1578</v>
      </c>
      <c r="D458" s="12" t="s">
        <v>1054</v>
      </c>
      <c r="E458" s="12" t="s">
        <v>1055</v>
      </c>
      <c r="F458" s="12">
        <v>1</v>
      </c>
      <c r="G458" s="12">
        <v>0</v>
      </c>
      <c r="H458" s="12">
        <v>18</v>
      </c>
      <c r="I458" s="12">
        <v>0</v>
      </c>
      <c r="J458" s="12" t="s">
        <v>43</v>
      </c>
      <c r="K458" s="28" t="s">
        <v>487</v>
      </c>
      <c r="N458" t="e">
        <v>#REF!</v>
      </c>
      <c r="O458" t="str">
        <f t="shared" si="7"/>
        <v>Isabelle Leduc</v>
      </c>
      <c r="P458" s="18">
        <v>7</v>
      </c>
    </row>
    <row r="459" spans="1:16" x14ac:dyDescent="0.45">
      <c r="A459" s="37">
        <v>458</v>
      </c>
      <c r="B459" s="37" t="s">
        <v>1290</v>
      </c>
      <c r="C459" s="37" t="s">
        <v>1409</v>
      </c>
      <c r="D459" s="12" t="s">
        <v>150</v>
      </c>
      <c r="E459" s="12" t="s">
        <v>151</v>
      </c>
      <c r="F459" s="12">
        <v>0</v>
      </c>
      <c r="G459" s="12">
        <v>0</v>
      </c>
      <c r="H459" s="12"/>
      <c r="I459" s="12">
        <v>1</v>
      </c>
      <c r="J459" s="12" t="s">
        <v>87</v>
      </c>
      <c r="K459" s="28">
        <v>1</v>
      </c>
      <c r="L459" s="9">
        <v>4</v>
      </c>
      <c r="N459" t="e">
        <v>#REF!</v>
      </c>
      <c r="O459" t="str">
        <f t="shared" si="7"/>
        <v>Margaud Chauvin</v>
      </c>
      <c r="P459" s="18">
        <v>4</v>
      </c>
    </row>
    <row r="460" spans="1:16" x14ac:dyDescent="0.45">
      <c r="A460" s="37">
        <v>459</v>
      </c>
      <c r="B460" s="37" t="s">
        <v>269</v>
      </c>
      <c r="C460" s="37" t="s">
        <v>1466</v>
      </c>
      <c r="D460" s="12" t="s">
        <v>1056</v>
      </c>
      <c r="E460" s="12" t="s">
        <v>1057</v>
      </c>
      <c r="F460" s="12">
        <v>1</v>
      </c>
      <c r="G460" s="12">
        <v>0</v>
      </c>
      <c r="H460" s="12">
        <v>38</v>
      </c>
      <c r="I460" s="12">
        <v>0</v>
      </c>
      <c r="J460" s="12" t="s">
        <v>43</v>
      </c>
      <c r="K460" s="28" t="s">
        <v>478</v>
      </c>
      <c r="N460" t="e">
        <v>#REF!</v>
      </c>
      <c r="O460" t="str">
        <f t="shared" si="7"/>
        <v>Louise Lelièvre</v>
      </c>
      <c r="P460" s="18">
        <v>4</v>
      </c>
    </row>
    <row r="461" spans="1:16" x14ac:dyDescent="0.45">
      <c r="A461" s="37">
        <v>460</v>
      </c>
      <c r="B461" s="37" t="s">
        <v>742</v>
      </c>
      <c r="C461" s="37" t="s">
        <v>1389</v>
      </c>
      <c r="D461" s="12" t="s">
        <v>1060</v>
      </c>
      <c r="E461" s="12" t="s">
        <v>1061</v>
      </c>
      <c r="F461" s="12">
        <v>1</v>
      </c>
      <c r="G461" s="12">
        <v>0</v>
      </c>
      <c r="H461" s="12">
        <v>22</v>
      </c>
      <c r="I461" s="12">
        <v>0</v>
      </c>
      <c r="J461" s="12" t="s">
        <v>43</v>
      </c>
      <c r="K461" s="28" t="s">
        <v>478</v>
      </c>
      <c r="N461" t="e">
        <v>#REF!</v>
      </c>
      <c r="O461" t="str">
        <f t="shared" si="7"/>
        <v>Lucy Lenoir</v>
      </c>
      <c r="P461" s="18">
        <v>5</v>
      </c>
    </row>
    <row r="462" spans="1:16" x14ac:dyDescent="0.45">
      <c r="A462" s="37">
        <v>461</v>
      </c>
      <c r="B462" s="37" t="s">
        <v>1321</v>
      </c>
      <c r="C462" s="37" t="s">
        <v>1509</v>
      </c>
      <c r="D462" s="12" t="s">
        <v>1058</v>
      </c>
      <c r="E462" s="12" t="s">
        <v>1059</v>
      </c>
      <c r="F462" s="12">
        <v>1</v>
      </c>
      <c r="G462" s="12">
        <v>0</v>
      </c>
      <c r="H462" s="12">
        <v>23</v>
      </c>
      <c r="I462" s="12">
        <v>0</v>
      </c>
      <c r="J462" s="12" t="s">
        <v>43</v>
      </c>
      <c r="K462" s="28" t="s">
        <v>478</v>
      </c>
      <c r="N462" t="e">
        <v>#REF!</v>
      </c>
      <c r="O462" t="str">
        <f t="shared" si="7"/>
        <v>Valérie Faivre</v>
      </c>
      <c r="P462" s="18">
        <v>5</v>
      </c>
    </row>
    <row r="463" spans="1:16" x14ac:dyDescent="0.45">
      <c r="A463" s="37">
        <v>462</v>
      </c>
      <c r="B463" s="37" t="s">
        <v>1333</v>
      </c>
      <c r="C463" s="37" t="s">
        <v>1496</v>
      </c>
      <c r="D463" s="12" t="s">
        <v>1062</v>
      </c>
      <c r="E463" s="12" t="s">
        <v>1063</v>
      </c>
      <c r="F463" s="12">
        <v>1</v>
      </c>
      <c r="G463" s="12">
        <v>0</v>
      </c>
      <c r="H463" s="12">
        <v>16</v>
      </c>
      <c r="I463" s="12">
        <v>0</v>
      </c>
      <c r="J463" s="12" t="s">
        <v>43</v>
      </c>
      <c r="K463" s="28" t="s">
        <v>487</v>
      </c>
      <c r="N463" t="e">
        <v>#REF!</v>
      </c>
      <c r="O463" t="str">
        <f t="shared" si="7"/>
        <v>Simone Jacob</v>
      </c>
      <c r="P463" s="18">
        <v>6</v>
      </c>
    </row>
    <row r="464" spans="1:16" x14ac:dyDescent="0.45">
      <c r="A464" s="37">
        <v>463</v>
      </c>
      <c r="B464" s="37" t="s">
        <v>1469</v>
      </c>
      <c r="C464" s="37" t="s">
        <v>1398</v>
      </c>
      <c r="D464" s="12" t="s">
        <v>427</v>
      </c>
      <c r="E464" s="12" t="s">
        <v>428</v>
      </c>
      <c r="F464" s="12">
        <v>0</v>
      </c>
      <c r="G464" s="12">
        <v>1</v>
      </c>
      <c r="H464" s="12">
        <v>42</v>
      </c>
      <c r="I464" s="12">
        <v>0</v>
      </c>
      <c r="J464" s="12" t="s">
        <v>43</v>
      </c>
      <c r="K464" s="28">
        <v>1</v>
      </c>
      <c r="L464" s="9">
        <v>9</v>
      </c>
      <c r="N464" t="e">
        <v>#REF!</v>
      </c>
      <c r="O464" t="str">
        <f t="shared" si="7"/>
        <v>Michelle Rousseau</v>
      </c>
      <c r="P464" s="18">
        <v>9</v>
      </c>
    </row>
    <row r="465" spans="1:16" x14ac:dyDescent="0.45">
      <c r="A465" s="37">
        <v>464</v>
      </c>
      <c r="B465" s="37" t="s">
        <v>1569</v>
      </c>
      <c r="C465" s="37" t="s">
        <v>1285</v>
      </c>
      <c r="D465" s="12" t="s">
        <v>1064</v>
      </c>
      <c r="E465" s="12" t="s">
        <v>1065</v>
      </c>
      <c r="F465" s="12">
        <v>1</v>
      </c>
      <c r="G465" s="12">
        <v>0</v>
      </c>
      <c r="H465" s="12">
        <v>18</v>
      </c>
      <c r="I465" s="12">
        <v>0</v>
      </c>
      <c r="J465" s="12" t="s">
        <v>43</v>
      </c>
      <c r="K465" s="28" t="s">
        <v>478</v>
      </c>
      <c r="N465" t="e">
        <v>#REF!</v>
      </c>
      <c r="O465" t="str">
        <f t="shared" si="7"/>
        <v>Denise Rocher</v>
      </c>
      <c r="P465" s="18">
        <v>7</v>
      </c>
    </row>
    <row r="466" spans="1:16" x14ac:dyDescent="0.45">
      <c r="A466" s="37">
        <v>465</v>
      </c>
      <c r="B466" s="37" t="s">
        <v>1579</v>
      </c>
      <c r="C466" s="37" t="s">
        <v>1580</v>
      </c>
      <c r="D466" s="12" t="s">
        <v>429</v>
      </c>
      <c r="E466" s="12" t="s">
        <v>430</v>
      </c>
      <c r="F466" s="12">
        <v>0</v>
      </c>
      <c r="G466" s="12">
        <v>1</v>
      </c>
      <c r="H466" s="12">
        <v>10</v>
      </c>
      <c r="I466" s="12">
        <v>0</v>
      </c>
      <c r="J466" s="12" t="s">
        <v>43</v>
      </c>
      <c r="K466" s="28">
        <v>1</v>
      </c>
      <c r="N466" t="e">
        <v>#REF!</v>
      </c>
      <c r="O466" t="str">
        <f t="shared" si="7"/>
        <v>Hélène Payet</v>
      </c>
      <c r="P466" s="18">
        <v>2</v>
      </c>
    </row>
    <row r="467" spans="1:16" x14ac:dyDescent="0.45">
      <c r="A467" s="37">
        <v>466</v>
      </c>
      <c r="B467" s="37" t="s">
        <v>542</v>
      </c>
      <c r="C467" s="37" t="s">
        <v>1233</v>
      </c>
      <c r="D467" s="12" t="s">
        <v>60</v>
      </c>
      <c r="E467" s="12" t="s">
        <v>61</v>
      </c>
      <c r="F467" s="12">
        <v>0</v>
      </c>
      <c r="G467" s="12">
        <v>0</v>
      </c>
      <c r="H467" s="12"/>
      <c r="I467" s="12">
        <v>1</v>
      </c>
      <c r="J467" s="12" t="s">
        <v>62</v>
      </c>
      <c r="K467" s="28">
        <v>1</v>
      </c>
      <c r="L467" s="9">
        <v>1</v>
      </c>
      <c r="N467" t="e">
        <v>#REF!</v>
      </c>
      <c r="O467" t="str">
        <f t="shared" si="7"/>
        <v>Nicolas Jourdan</v>
      </c>
      <c r="P467" s="18">
        <v>1</v>
      </c>
    </row>
    <row r="468" spans="1:16" x14ac:dyDescent="0.45">
      <c r="A468" s="37">
        <v>467</v>
      </c>
      <c r="B468" s="37" t="s">
        <v>1343</v>
      </c>
      <c r="C468" s="37" t="s">
        <v>1501</v>
      </c>
      <c r="D468" s="12" t="s">
        <v>432</v>
      </c>
      <c r="E468" s="12" t="s">
        <v>433</v>
      </c>
      <c r="F468" s="12">
        <v>0</v>
      </c>
      <c r="G468" s="12">
        <v>1</v>
      </c>
      <c r="H468" s="12">
        <v>7</v>
      </c>
      <c r="I468" s="12">
        <v>0</v>
      </c>
      <c r="J468" s="12" t="s">
        <v>43</v>
      </c>
      <c r="K468" s="28">
        <v>1</v>
      </c>
      <c r="N468" t="e">
        <v>#REF!</v>
      </c>
      <c r="O468" t="str">
        <f t="shared" si="7"/>
        <v>Véronique Regnier</v>
      </c>
      <c r="P468" s="18">
        <v>1</v>
      </c>
    </row>
    <row r="469" spans="1:16" x14ac:dyDescent="0.45">
      <c r="A469" s="37">
        <v>468</v>
      </c>
      <c r="B469" s="37" t="s">
        <v>511</v>
      </c>
      <c r="C469" s="37" t="s">
        <v>1581</v>
      </c>
      <c r="D469" s="12" t="s">
        <v>434</v>
      </c>
      <c r="E469" s="12" t="s">
        <v>435</v>
      </c>
      <c r="F469" s="12">
        <v>0</v>
      </c>
      <c r="G469" s="12">
        <v>1</v>
      </c>
      <c r="H469" s="12">
        <v>11</v>
      </c>
      <c r="I469" s="12">
        <v>0</v>
      </c>
      <c r="J469" s="12" t="s">
        <v>43</v>
      </c>
      <c r="K469" s="28">
        <v>1</v>
      </c>
      <c r="N469" t="e">
        <v>#REF!</v>
      </c>
      <c r="O469" t="str">
        <f t="shared" si="7"/>
        <v>Alix Bruneau</v>
      </c>
      <c r="P469" s="18">
        <v>4</v>
      </c>
    </row>
    <row r="470" spans="1:16" x14ac:dyDescent="0.45">
      <c r="A470" s="37">
        <v>469</v>
      </c>
      <c r="B470" s="37" t="s">
        <v>1236</v>
      </c>
      <c r="C470" s="37" t="s">
        <v>1582</v>
      </c>
      <c r="D470" s="12" t="s">
        <v>1066</v>
      </c>
      <c r="E470" s="12" t="s">
        <v>1067</v>
      </c>
      <c r="F470" s="12">
        <v>1</v>
      </c>
      <c r="G470" s="12">
        <v>0</v>
      </c>
      <c r="H470" s="12">
        <v>11</v>
      </c>
      <c r="I470" s="12">
        <v>0</v>
      </c>
      <c r="J470" s="12" t="s">
        <v>43</v>
      </c>
      <c r="K470" s="28" t="s">
        <v>478</v>
      </c>
      <c r="N470" t="e">
        <v>#REF!</v>
      </c>
      <c r="O470" t="str">
        <f t="shared" si="7"/>
        <v>Denis Guillon</v>
      </c>
      <c r="P470" s="18">
        <v>4</v>
      </c>
    </row>
    <row r="471" spans="1:16" x14ac:dyDescent="0.45">
      <c r="A471" s="37">
        <v>470</v>
      </c>
      <c r="B471" s="37" t="s">
        <v>1326</v>
      </c>
      <c r="C471" s="37" t="s">
        <v>1583</v>
      </c>
      <c r="D471" s="12" t="s">
        <v>1068</v>
      </c>
      <c r="E471" s="12" t="s">
        <v>1069</v>
      </c>
      <c r="F471" s="12">
        <v>1</v>
      </c>
      <c r="G471" s="12">
        <v>0</v>
      </c>
      <c r="H471" s="12">
        <v>14</v>
      </c>
      <c r="I471" s="12">
        <v>0</v>
      </c>
      <c r="J471" s="12" t="s">
        <v>43</v>
      </c>
      <c r="K471" s="28" t="s">
        <v>478</v>
      </c>
      <c r="N471" t="e">
        <v>#REF!</v>
      </c>
      <c r="O471" t="str">
        <f t="shared" si="7"/>
        <v>David Gaillard</v>
      </c>
      <c r="P471" s="18">
        <v>7</v>
      </c>
    </row>
    <row r="472" spans="1:16" x14ac:dyDescent="0.45">
      <c r="A472" s="37">
        <v>471</v>
      </c>
      <c r="B472" s="37" t="s">
        <v>1402</v>
      </c>
      <c r="C472" s="37" t="s">
        <v>1382</v>
      </c>
      <c r="D472" s="12" t="s">
        <v>437</v>
      </c>
      <c r="E472" s="12" t="s">
        <v>438</v>
      </c>
      <c r="F472" s="12">
        <v>0</v>
      </c>
      <c r="G472" s="12">
        <v>1</v>
      </c>
      <c r="H472" s="12">
        <v>7</v>
      </c>
      <c r="I472" s="12">
        <v>0</v>
      </c>
      <c r="J472" s="12" t="s">
        <v>43</v>
      </c>
      <c r="K472" s="28">
        <v>1</v>
      </c>
      <c r="N472" t="e">
        <v>#REF!</v>
      </c>
      <c r="O472" t="str">
        <f t="shared" si="7"/>
        <v>Alain Leconte</v>
      </c>
      <c r="P472" s="18">
        <v>1</v>
      </c>
    </row>
    <row r="473" spans="1:16" x14ac:dyDescent="0.45">
      <c r="A473" s="37">
        <v>472</v>
      </c>
      <c r="B473" s="37" t="s">
        <v>1256</v>
      </c>
      <c r="C473" s="37" t="s">
        <v>1289</v>
      </c>
      <c r="D473" s="12" t="s">
        <v>1070</v>
      </c>
      <c r="E473" s="12" t="s">
        <v>1071</v>
      </c>
      <c r="F473" s="12">
        <v>1</v>
      </c>
      <c r="G473" s="12">
        <v>0</v>
      </c>
      <c r="H473" s="12">
        <v>25</v>
      </c>
      <c r="I473" s="12">
        <v>0</v>
      </c>
      <c r="J473" s="12" t="s">
        <v>43</v>
      </c>
      <c r="K473" s="28" t="s">
        <v>478</v>
      </c>
      <c r="N473" t="e">
        <v>#REF!</v>
      </c>
      <c r="O473" t="str">
        <f t="shared" si="7"/>
        <v>Raymond Brun</v>
      </c>
      <c r="P473" s="18">
        <v>2</v>
      </c>
    </row>
    <row r="474" spans="1:16" x14ac:dyDescent="0.45">
      <c r="A474" s="37">
        <v>473</v>
      </c>
      <c r="B474" s="37" t="s">
        <v>221</v>
      </c>
      <c r="C474" s="37" t="s">
        <v>436</v>
      </c>
      <c r="D474" s="12" t="s">
        <v>1072</v>
      </c>
      <c r="E474" s="12" t="s">
        <v>1073</v>
      </c>
      <c r="F474" s="12">
        <v>1</v>
      </c>
      <c r="G474" s="12">
        <v>0</v>
      </c>
      <c r="H474" s="12">
        <v>25</v>
      </c>
      <c r="I474" s="12">
        <v>0</v>
      </c>
      <c r="J474" s="12" t="s">
        <v>43</v>
      </c>
      <c r="K474" s="28" t="s">
        <v>478</v>
      </c>
      <c r="N474" t="e">
        <v>#REF!</v>
      </c>
      <c r="O474" t="str">
        <f t="shared" si="7"/>
        <v>Jeanne Marion</v>
      </c>
      <c r="P474" s="18">
        <v>2</v>
      </c>
    </row>
    <row r="475" spans="1:16" x14ac:dyDescent="0.45">
      <c r="A475" s="37">
        <v>474</v>
      </c>
      <c r="B475" s="37" t="s">
        <v>1216</v>
      </c>
      <c r="C475" s="37" t="s">
        <v>1286</v>
      </c>
      <c r="D475" s="12" t="s">
        <v>439</v>
      </c>
      <c r="E475" s="12" t="s">
        <v>440</v>
      </c>
      <c r="F475" s="12">
        <v>0</v>
      </c>
      <c r="G475" s="12">
        <v>1</v>
      </c>
      <c r="H475" s="12">
        <v>32</v>
      </c>
      <c r="I475" s="12">
        <v>0</v>
      </c>
      <c r="J475" s="12" t="s">
        <v>43</v>
      </c>
      <c r="K475" s="28">
        <v>1</v>
      </c>
      <c r="N475" t="e">
        <v>#REF!</v>
      </c>
      <c r="O475" t="str">
        <f t="shared" si="7"/>
        <v>Robert Rousset</v>
      </c>
      <c r="P475" s="18">
        <v>6</v>
      </c>
    </row>
    <row r="476" spans="1:16" x14ac:dyDescent="0.45">
      <c r="A476" s="37">
        <v>475</v>
      </c>
      <c r="B476" s="37" t="s">
        <v>1306</v>
      </c>
      <c r="C476" s="37" t="s">
        <v>1416</v>
      </c>
      <c r="D476" s="12" t="s">
        <v>1074</v>
      </c>
      <c r="E476" s="12" t="s">
        <v>1075</v>
      </c>
      <c r="F476" s="12">
        <v>1</v>
      </c>
      <c r="G476" s="12">
        <v>0</v>
      </c>
      <c r="H476" s="12">
        <v>12</v>
      </c>
      <c r="I476" s="12">
        <v>0</v>
      </c>
      <c r="J476" s="12" t="s">
        <v>43</v>
      </c>
      <c r="K476" s="28" t="s">
        <v>478</v>
      </c>
      <c r="N476" t="e">
        <v>#REF!</v>
      </c>
      <c r="O476" t="str">
        <f t="shared" si="7"/>
        <v>Michèle Coste</v>
      </c>
      <c r="P476" s="18">
        <v>1</v>
      </c>
    </row>
    <row r="477" spans="1:16" x14ac:dyDescent="0.45">
      <c r="A477" s="37">
        <v>476</v>
      </c>
      <c r="B477" s="37" t="s">
        <v>1584</v>
      </c>
      <c r="C477" s="37" t="s">
        <v>1475</v>
      </c>
      <c r="D477" s="12" t="s">
        <v>441</v>
      </c>
      <c r="E477" s="12" t="s">
        <v>442</v>
      </c>
      <c r="F477" s="12">
        <v>0</v>
      </c>
      <c r="G477" s="12">
        <v>1</v>
      </c>
      <c r="H477" s="12">
        <v>32</v>
      </c>
      <c r="I477" s="12">
        <v>0</v>
      </c>
      <c r="J477" s="12" t="s">
        <v>43</v>
      </c>
      <c r="K477" s="28">
        <v>1</v>
      </c>
      <c r="N477" t="e">
        <v>#REF!</v>
      </c>
      <c r="O477" t="str">
        <f t="shared" si="7"/>
        <v>Élisabeth Fontaine</v>
      </c>
      <c r="P477" s="18">
        <v>6</v>
      </c>
    </row>
    <row r="478" spans="1:16" x14ac:dyDescent="0.45">
      <c r="A478" s="37">
        <v>477</v>
      </c>
      <c r="B478" s="37" t="s">
        <v>1451</v>
      </c>
      <c r="C478" s="37" t="s">
        <v>1320</v>
      </c>
      <c r="D478" s="12" t="s">
        <v>152</v>
      </c>
      <c r="E478" s="12" t="s">
        <v>153</v>
      </c>
      <c r="F478" s="12">
        <v>0</v>
      </c>
      <c r="G478" s="12">
        <v>0</v>
      </c>
      <c r="H478" s="12"/>
      <c r="I478" s="12">
        <v>1</v>
      </c>
      <c r="J478" s="12" t="s">
        <v>98</v>
      </c>
      <c r="K478" s="28">
        <v>1</v>
      </c>
      <c r="L478" s="9">
        <v>1</v>
      </c>
      <c r="N478" t="e">
        <v>#REF!</v>
      </c>
      <c r="O478" t="str">
        <f t="shared" si="7"/>
        <v>Monique Traore</v>
      </c>
      <c r="P478" s="18">
        <v>1</v>
      </c>
    </row>
    <row r="479" spans="1:16" x14ac:dyDescent="0.45">
      <c r="A479" s="37">
        <v>478</v>
      </c>
      <c r="B479" s="37" t="s">
        <v>1304</v>
      </c>
      <c r="C479" s="37" t="s">
        <v>1585</v>
      </c>
      <c r="D479" s="12" t="s">
        <v>1076</v>
      </c>
      <c r="E479" s="12" t="s">
        <v>1077</v>
      </c>
      <c r="F479" s="12">
        <v>1</v>
      </c>
      <c r="G479" s="12">
        <v>0</v>
      </c>
      <c r="H479" s="12">
        <v>27</v>
      </c>
      <c r="I479" s="12">
        <v>0</v>
      </c>
      <c r="J479" s="12" t="s">
        <v>43</v>
      </c>
      <c r="K479" s="28" t="s">
        <v>478</v>
      </c>
      <c r="N479" t="e">
        <v>#REF!</v>
      </c>
      <c r="O479" t="str">
        <f t="shared" si="7"/>
        <v>Martin Buisson</v>
      </c>
      <c r="P479" s="18">
        <v>2</v>
      </c>
    </row>
    <row r="480" spans="1:16" x14ac:dyDescent="0.45">
      <c r="A480" s="37">
        <v>479</v>
      </c>
      <c r="B480" s="37" t="s">
        <v>1402</v>
      </c>
      <c r="C480" s="37" t="s">
        <v>1466</v>
      </c>
      <c r="D480" s="12" t="s">
        <v>1078</v>
      </c>
      <c r="E480" s="12" t="s">
        <v>1079</v>
      </c>
      <c r="F480" s="12">
        <v>1</v>
      </c>
      <c r="G480" s="12">
        <v>0</v>
      </c>
      <c r="H480" s="12">
        <v>27</v>
      </c>
      <c r="I480" s="12">
        <v>0</v>
      </c>
      <c r="J480" s="12" t="s">
        <v>43</v>
      </c>
      <c r="K480" s="28" t="s">
        <v>487</v>
      </c>
      <c r="N480" t="e">
        <v>#REF!</v>
      </c>
      <c r="O480" t="str">
        <f t="shared" si="7"/>
        <v>Alain Lelièvre</v>
      </c>
      <c r="P480" s="18">
        <v>2</v>
      </c>
    </row>
    <row r="481" spans="1:16" x14ac:dyDescent="0.45">
      <c r="A481" s="37">
        <v>480</v>
      </c>
      <c r="B481" s="37" t="s">
        <v>1364</v>
      </c>
      <c r="C481" s="37" t="s">
        <v>1225</v>
      </c>
      <c r="D481" s="12" t="s">
        <v>443</v>
      </c>
      <c r="E481" s="12" t="s">
        <v>444</v>
      </c>
      <c r="F481" s="12">
        <v>0</v>
      </c>
      <c r="G481" s="12">
        <v>1</v>
      </c>
      <c r="H481" s="12">
        <v>31</v>
      </c>
      <c r="I481" s="12">
        <v>0</v>
      </c>
      <c r="J481" s="12" t="s">
        <v>43</v>
      </c>
      <c r="K481" s="28">
        <v>1</v>
      </c>
      <c r="N481" t="e">
        <v>#REF!</v>
      </c>
      <c r="O481" t="str">
        <f t="shared" si="7"/>
        <v>Alexandrie Ollivier</v>
      </c>
      <c r="P481" s="18">
        <v>6</v>
      </c>
    </row>
    <row r="482" spans="1:16" x14ac:dyDescent="0.45">
      <c r="A482" s="37">
        <v>481</v>
      </c>
      <c r="B482" s="37" t="s">
        <v>1567</v>
      </c>
      <c r="C482" s="37" t="s">
        <v>1447</v>
      </c>
      <c r="D482" s="12" t="s">
        <v>154</v>
      </c>
      <c r="E482" s="12" t="s">
        <v>155</v>
      </c>
      <c r="F482" s="12">
        <v>0</v>
      </c>
      <c r="G482" s="12">
        <v>0</v>
      </c>
      <c r="H482" s="12"/>
      <c r="I482" s="12">
        <v>1</v>
      </c>
      <c r="J482" s="12" t="s">
        <v>106</v>
      </c>
      <c r="K482" s="28">
        <v>1</v>
      </c>
      <c r="L482" s="9">
        <v>4</v>
      </c>
      <c r="N482" t="e">
        <v>#REF!</v>
      </c>
      <c r="O482" t="str">
        <f t="shared" ref="O482:O491" si="8">_xlfn.CONCAT(B482, " ", C482)</f>
        <v>Henri Blin</v>
      </c>
      <c r="P482" s="18">
        <v>4</v>
      </c>
    </row>
    <row r="483" spans="1:16" x14ac:dyDescent="0.45">
      <c r="A483" s="37">
        <v>482</v>
      </c>
      <c r="B483" s="37" t="s">
        <v>742</v>
      </c>
      <c r="C483" s="37" t="s">
        <v>1225</v>
      </c>
      <c r="D483" s="12" t="s">
        <v>445</v>
      </c>
      <c r="E483" s="12" t="s">
        <v>446</v>
      </c>
      <c r="F483" s="12">
        <v>0</v>
      </c>
      <c r="G483" s="12">
        <v>1</v>
      </c>
      <c r="H483" s="12">
        <v>31</v>
      </c>
      <c r="I483" s="12">
        <v>0</v>
      </c>
      <c r="J483" s="12" t="s">
        <v>43</v>
      </c>
      <c r="K483" s="28">
        <v>1</v>
      </c>
      <c r="N483" t="e">
        <v>#REF!</v>
      </c>
      <c r="O483" t="str">
        <f t="shared" si="8"/>
        <v>Lucy Ollivier</v>
      </c>
      <c r="P483" s="18">
        <v>6</v>
      </c>
    </row>
    <row r="484" spans="1:16" x14ac:dyDescent="0.45">
      <c r="A484" s="37">
        <v>483</v>
      </c>
      <c r="B484" s="37" t="s">
        <v>1586</v>
      </c>
      <c r="C484" s="37" t="s">
        <v>1517</v>
      </c>
      <c r="D484" s="12" t="s">
        <v>1080</v>
      </c>
      <c r="E484" s="12" t="s">
        <v>1081</v>
      </c>
      <c r="F484" s="12">
        <v>1</v>
      </c>
      <c r="G484" s="12">
        <v>0</v>
      </c>
      <c r="H484" s="12">
        <v>33</v>
      </c>
      <c r="I484" s="12">
        <v>0</v>
      </c>
      <c r="J484" s="12" t="s">
        <v>43</v>
      </c>
      <c r="K484" s="28" t="s">
        <v>478</v>
      </c>
      <c r="N484" t="e">
        <v>#REF!</v>
      </c>
      <c r="O484" t="str">
        <f t="shared" si="8"/>
        <v>Gabrielle Chevallier</v>
      </c>
      <c r="P484" s="18">
        <v>8</v>
      </c>
    </row>
    <row r="485" spans="1:16" x14ac:dyDescent="0.45">
      <c r="A485" s="37">
        <v>484</v>
      </c>
      <c r="B485" s="37" t="s">
        <v>473</v>
      </c>
      <c r="C485" s="37" t="s">
        <v>1334</v>
      </c>
      <c r="D485" s="12" t="s">
        <v>1082</v>
      </c>
      <c r="E485" s="12" t="s">
        <v>1083</v>
      </c>
      <c r="F485" s="12">
        <v>1</v>
      </c>
      <c r="G485" s="12">
        <v>0</v>
      </c>
      <c r="H485" s="12">
        <v>31</v>
      </c>
      <c r="I485" s="12">
        <v>0</v>
      </c>
      <c r="J485" s="12" t="s">
        <v>43</v>
      </c>
      <c r="K485" s="28" t="s">
        <v>478</v>
      </c>
      <c r="N485" t="e">
        <v>#REF!</v>
      </c>
      <c r="O485" t="str">
        <f t="shared" si="8"/>
        <v>Laurent Bourgeois</v>
      </c>
      <c r="P485" s="18">
        <v>6</v>
      </c>
    </row>
    <row r="486" spans="1:16" x14ac:dyDescent="0.45">
      <c r="A486" s="37">
        <v>485</v>
      </c>
      <c r="B486" s="37" t="s">
        <v>1586</v>
      </c>
      <c r="C486" s="37" t="s">
        <v>1505</v>
      </c>
      <c r="D486" s="12" t="s">
        <v>447</v>
      </c>
      <c r="E486" s="12" t="s">
        <v>448</v>
      </c>
      <c r="F486" s="12">
        <v>0</v>
      </c>
      <c r="G486" s="12">
        <v>1</v>
      </c>
      <c r="H486" s="12">
        <v>11</v>
      </c>
      <c r="I486" s="12">
        <v>0</v>
      </c>
      <c r="J486" s="12" t="s">
        <v>43</v>
      </c>
      <c r="K486" s="28">
        <v>1</v>
      </c>
      <c r="N486" t="e">
        <v>#REF!</v>
      </c>
      <c r="O486" t="str">
        <f t="shared" si="8"/>
        <v>Gabrielle Joubert</v>
      </c>
      <c r="P486" s="18">
        <v>4</v>
      </c>
    </row>
    <row r="487" spans="1:16" x14ac:dyDescent="0.45">
      <c r="A487" s="37">
        <v>486</v>
      </c>
      <c r="B487" s="37" t="s">
        <v>1470</v>
      </c>
      <c r="C487" s="37" t="s">
        <v>1329</v>
      </c>
      <c r="D487" s="12" t="s">
        <v>449</v>
      </c>
      <c r="E487" s="12" t="s">
        <v>450</v>
      </c>
      <c r="F487" s="12">
        <v>0</v>
      </c>
      <c r="G487" s="12">
        <v>1</v>
      </c>
      <c r="H487" s="12">
        <v>29</v>
      </c>
      <c r="I487" s="12">
        <v>0</v>
      </c>
      <c r="J487" s="12" t="s">
        <v>43</v>
      </c>
      <c r="K487" s="28">
        <v>1</v>
      </c>
      <c r="N487" t="e">
        <v>#REF!</v>
      </c>
      <c r="O487" t="str">
        <f t="shared" si="8"/>
        <v>Inès Dias</v>
      </c>
      <c r="P487" s="18">
        <v>5</v>
      </c>
    </row>
    <row r="488" spans="1:16" x14ac:dyDescent="0.45">
      <c r="A488" s="37">
        <v>487</v>
      </c>
      <c r="B488" s="37" t="s">
        <v>1587</v>
      </c>
      <c r="C488" s="37" t="s">
        <v>1413</v>
      </c>
      <c r="D488" s="12" t="s">
        <v>1084</v>
      </c>
      <c r="E488" s="12" t="s">
        <v>1085</v>
      </c>
      <c r="F488" s="12">
        <v>1</v>
      </c>
      <c r="G488" s="12">
        <v>0</v>
      </c>
      <c r="H488" s="12">
        <v>32</v>
      </c>
      <c r="I488" s="12">
        <v>0</v>
      </c>
      <c r="J488" s="12" t="s">
        <v>43</v>
      </c>
      <c r="K488" s="28" t="s">
        <v>478</v>
      </c>
      <c r="N488" t="e">
        <v>#REF!</v>
      </c>
      <c r="O488" t="str">
        <f t="shared" si="8"/>
        <v>Guy Evrard</v>
      </c>
      <c r="P488" s="18">
        <v>6</v>
      </c>
    </row>
    <row r="489" spans="1:16" x14ac:dyDescent="0.45">
      <c r="A489" s="37">
        <v>488</v>
      </c>
      <c r="B489" s="37" t="s">
        <v>1262</v>
      </c>
      <c r="C489" s="37" t="s">
        <v>1277</v>
      </c>
      <c r="D489" s="12" t="s">
        <v>1087</v>
      </c>
      <c r="E489" s="12" t="s">
        <v>43</v>
      </c>
      <c r="F489" s="12">
        <v>1</v>
      </c>
      <c r="G489" s="12">
        <v>0</v>
      </c>
      <c r="H489" s="12">
        <v>9</v>
      </c>
      <c r="I489" s="12">
        <v>0</v>
      </c>
      <c r="J489" s="12" t="s">
        <v>43</v>
      </c>
      <c r="K489" s="28" t="s">
        <v>478</v>
      </c>
      <c r="N489" t="e">
        <v>#REF!</v>
      </c>
      <c r="O489" t="str">
        <f t="shared" si="8"/>
        <v>Suzanne Jacques</v>
      </c>
      <c r="P489" s="18">
        <v>1</v>
      </c>
    </row>
    <row r="490" spans="1:16" x14ac:dyDescent="0.45">
      <c r="A490" s="37">
        <v>489</v>
      </c>
      <c r="B490" s="37" t="s">
        <v>246</v>
      </c>
      <c r="C490" s="37" t="s">
        <v>1588</v>
      </c>
      <c r="D490" s="12" t="s">
        <v>1088</v>
      </c>
      <c r="E490" s="12" t="s">
        <v>1089</v>
      </c>
      <c r="F490" s="12">
        <v>1</v>
      </c>
      <c r="G490" s="12">
        <v>0</v>
      </c>
      <c r="H490" s="12">
        <v>20</v>
      </c>
      <c r="I490" s="12">
        <v>0</v>
      </c>
      <c r="J490" s="12" t="s">
        <v>43</v>
      </c>
      <c r="K490" s="28" t="s">
        <v>478</v>
      </c>
      <c r="N490" t="e">
        <v>#REF!</v>
      </c>
      <c r="O490" t="str">
        <f t="shared" si="8"/>
        <v>Margot Voisin</v>
      </c>
      <c r="P490" s="18">
        <v>8</v>
      </c>
    </row>
    <row r="491" spans="1:16" x14ac:dyDescent="0.45">
      <c r="A491" s="37">
        <v>490</v>
      </c>
      <c r="B491" s="37" t="s">
        <v>1356</v>
      </c>
      <c r="C491" s="37" t="s">
        <v>1589</v>
      </c>
      <c r="D491" s="12" t="s">
        <v>1090</v>
      </c>
      <c r="E491" s="12" t="s">
        <v>1091</v>
      </c>
      <c r="F491" s="12">
        <v>1</v>
      </c>
      <c r="G491" s="12">
        <v>0</v>
      </c>
      <c r="H491" s="12">
        <v>10</v>
      </c>
      <c r="I491" s="12">
        <v>0</v>
      </c>
      <c r="J491" s="12" t="s">
        <v>43</v>
      </c>
      <c r="K491" s="28" t="s">
        <v>487</v>
      </c>
      <c r="N491" t="e">
        <v>#REF!</v>
      </c>
      <c r="O491" t="str">
        <f t="shared" si="8"/>
        <v>Gérard Hervé</v>
      </c>
      <c r="P491" s="18">
        <v>2</v>
      </c>
    </row>
    <row r="492" spans="1:16" x14ac:dyDescent="0.45">
      <c r="A492" s="37">
        <v>491</v>
      </c>
      <c r="B492" s="37" t="s">
        <v>1258</v>
      </c>
      <c r="C492" s="37" t="s">
        <v>1369</v>
      </c>
      <c r="D492" t="s">
        <v>1092</v>
      </c>
      <c r="E492" t="s">
        <v>1093</v>
      </c>
      <c r="F492">
        <v>1</v>
      </c>
      <c r="G492">
        <v>0</v>
      </c>
      <c r="H492">
        <v>18</v>
      </c>
      <c r="I492">
        <v>0</v>
      </c>
      <c r="J492" t="s">
        <v>43</v>
      </c>
      <c r="K492" s="29" t="s">
        <v>478</v>
      </c>
      <c r="P492" s="18">
        <v>7</v>
      </c>
    </row>
    <row r="493" spans="1:16" x14ac:dyDescent="0.45">
      <c r="A493" s="37">
        <v>492</v>
      </c>
      <c r="B493" s="37" t="s">
        <v>1411</v>
      </c>
      <c r="C493" s="37" t="s">
        <v>1225</v>
      </c>
      <c r="D493" t="s">
        <v>1094</v>
      </c>
      <c r="E493" t="s">
        <v>1095</v>
      </c>
      <c r="F493">
        <v>1</v>
      </c>
      <c r="G493">
        <v>0</v>
      </c>
      <c r="H493">
        <v>13</v>
      </c>
      <c r="I493">
        <v>0</v>
      </c>
      <c r="J493" t="s">
        <v>43</v>
      </c>
      <c r="K493" s="29" t="s">
        <v>478</v>
      </c>
      <c r="P493" s="18">
        <v>4</v>
      </c>
    </row>
    <row r="494" spans="1:16" x14ac:dyDescent="0.45">
      <c r="A494" s="37">
        <v>493</v>
      </c>
      <c r="B494" s="37" t="s">
        <v>59</v>
      </c>
      <c r="C494" s="37" t="s">
        <v>1530</v>
      </c>
      <c r="D494" t="s">
        <v>1096</v>
      </c>
      <c r="E494" t="s">
        <v>43</v>
      </c>
      <c r="F494">
        <v>1</v>
      </c>
      <c r="G494">
        <v>0</v>
      </c>
      <c r="H494">
        <v>12</v>
      </c>
      <c r="I494">
        <v>0</v>
      </c>
      <c r="J494" t="s">
        <v>43</v>
      </c>
      <c r="K494" s="29" t="s">
        <v>487</v>
      </c>
      <c r="P494" s="18">
        <v>1</v>
      </c>
    </row>
    <row r="495" spans="1:16" x14ac:dyDescent="0.45">
      <c r="A495" s="37">
        <v>494</v>
      </c>
      <c r="B495" s="37" t="s">
        <v>1383</v>
      </c>
      <c r="C495" s="37" t="s">
        <v>1339</v>
      </c>
      <c r="D495" t="s">
        <v>1097</v>
      </c>
      <c r="E495" t="s">
        <v>1098</v>
      </c>
      <c r="F495">
        <v>1</v>
      </c>
      <c r="G495">
        <v>0</v>
      </c>
      <c r="H495">
        <v>20</v>
      </c>
      <c r="I495">
        <v>0</v>
      </c>
      <c r="J495" t="s">
        <v>43</v>
      </c>
      <c r="K495" s="29" t="s">
        <v>478</v>
      </c>
      <c r="P495" s="18">
        <v>8</v>
      </c>
    </row>
    <row r="496" spans="1:16" x14ac:dyDescent="0.45">
      <c r="A496" s="37">
        <v>495</v>
      </c>
      <c r="B496" s="37" t="s">
        <v>959</v>
      </c>
      <c r="C496" s="37" t="s">
        <v>1427</v>
      </c>
      <c r="D496" t="s">
        <v>1099</v>
      </c>
      <c r="E496" t="s">
        <v>1100</v>
      </c>
      <c r="F496">
        <v>1</v>
      </c>
      <c r="G496">
        <v>0</v>
      </c>
      <c r="H496">
        <v>20</v>
      </c>
      <c r="I496">
        <v>0</v>
      </c>
      <c r="J496" t="s">
        <v>43</v>
      </c>
      <c r="K496" s="29" t="s">
        <v>478</v>
      </c>
      <c r="P496" s="18">
        <v>8</v>
      </c>
    </row>
    <row r="497" spans="1:16" x14ac:dyDescent="0.45">
      <c r="A497" s="37">
        <v>496</v>
      </c>
      <c r="B497" s="37" t="s">
        <v>1277</v>
      </c>
      <c r="C497" s="37" t="s">
        <v>1246</v>
      </c>
      <c r="D497" t="s">
        <v>1101</v>
      </c>
      <c r="E497" t="s">
        <v>43</v>
      </c>
      <c r="F497">
        <v>1</v>
      </c>
      <c r="G497">
        <v>0</v>
      </c>
      <c r="H497">
        <v>9</v>
      </c>
      <c r="I497">
        <v>0</v>
      </c>
      <c r="J497" t="s">
        <v>43</v>
      </c>
      <c r="K497" s="29" t="s">
        <v>478</v>
      </c>
      <c r="P497" s="18">
        <v>1</v>
      </c>
    </row>
    <row r="498" spans="1:16" x14ac:dyDescent="0.45">
      <c r="A498" s="37">
        <v>497</v>
      </c>
      <c r="B498" s="37" t="s">
        <v>1507</v>
      </c>
      <c r="C498" s="37" t="s">
        <v>1319</v>
      </c>
      <c r="D498" t="s">
        <v>1102</v>
      </c>
      <c r="E498" t="s">
        <v>1103</v>
      </c>
      <c r="F498">
        <v>1</v>
      </c>
      <c r="G498">
        <v>0</v>
      </c>
      <c r="H498">
        <v>28</v>
      </c>
      <c r="I498">
        <v>0</v>
      </c>
      <c r="J498" t="s">
        <v>43</v>
      </c>
      <c r="K498" s="29" t="s">
        <v>487</v>
      </c>
      <c r="P498" s="18">
        <v>7</v>
      </c>
    </row>
    <row r="499" spans="1:16" x14ac:dyDescent="0.45">
      <c r="A499" s="37">
        <v>498</v>
      </c>
      <c r="B499" s="37" t="s">
        <v>1411</v>
      </c>
      <c r="C499" s="37" t="s">
        <v>1319</v>
      </c>
      <c r="D499" t="s">
        <v>1104</v>
      </c>
      <c r="E499" t="s">
        <v>1105</v>
      </c>
      <c r="F499">
        <v>1</v>
      </c>
      <c r="G499">
        <v>0</v>
      </c>
      <c r="H499">
        <v>27</v>
      </c>
      <c r="I499">
        <v>0</v>
      </c>
      <c r="J499" t="s">
        <v>43</v>
      </c>
      <c r="K499" s="29" t="s">
        <v>478</v>
      </c>
      <c r="P499" s="18">
        <v>2</v>
      </c>
    </row>
    <row r="500" spans="1:16" x14ac:dyDescent="0.45">
      <c r="A500" s="37">
        <v>499</v>
      </c>
      <c r="B500" s="37" t="s">
        <v>1431</v>
      </c>
      <c r="C500" s="37" t="s">
        <v>1478</v>
      </c>
      <c r="D500" t="s">
        <v>1106</v>
      </c>
      <c r="E500" t="s">
        <v>1107</v>
      </c>
      <c r="F500">
        <v>1</v>
      </c>
      <c r="G500">
        <v>0</v>
      </c>
      <c r="H500">
        <v>17</v>
      </c>
      <c r="I500">
        <v>0</v>
      </c>
      <c r="J500" t="s">
        <v>43</v>
      </c>
      <c r="K500" s="29" t="s">
        <v>487</v>
      </c>
      <c r="P500" s="18">
        <v>3</v>
      </c>
    </row>
    <row r="501" spans="1:16" x14ac:dyDescent="0.45">
      <c r="A501" s="37">
        <v>500</v>
      </c>
      <c r="B501" s="37" t="s">
        <v>1566</v>
      </c>
      <c r="C501" s="37" t="s">
        <v>1590</v>
      </c>
      <c r="D501" t="s">
        <v>1108</v>
      </c>
      <c r="E501" t="s">
        <v>1109</v>
      </c>
      <c r="F501">
        <v>1</v>
      </c>
      <c r="G501">
        <v>0</v>
      </c>
      <c r="H501">
        <v>40</v>
      </c>
      <c r="I501">
        <v>0</v>
      </c>
      <c r="J501" t="s">
        <v>43</v>
      </c>
      <c r="K501" s="29" t="s">
        <v>478</v>
      </c>
      <c r="L501" s="9">
        <v>9</v>
      </c>
      <c r="P501" s="18">
        <v>9</v>
      </c>
    </row>
    <row r="502" spans="1:16" x14ac:dyDescent="0.45">
      <c r="A502" s="37">
        <v>501</v>
      </c>
      <c r="B502" s="37" t="s">
        <v>1294</v>
      </c>
      <c r="C502" s="37" t="s">
        <v>1591</v>
      </c>
      <c r="D502" t="s">
        <v>1110</v>
      </c>
      <c r="E502" t="s">
        <v>1111</v>
      </c>
      <c r="F502">
        <v>1</v>
      </c>
      <c r="G502">
        <v>0</v>
      </c>
      <c r="H502">
        <v>7</v>
      </c>
      <c r="I502">
        <v>0</v>
      </c>
      <c r="J502" t="s">
        <v>43</v>
      </c>
      <c r="K502" s="29" t="s">
        <v>487</v>
      </c>
      <c r="P502" s="18">
        <v>1</v>
      </c>
    </row>
    <row r="503" spans="1:16" x14ac:dyDescent="0.45">
      <c r="A503" s="37">
        <v>502</v>
      </c>
      <c r="B503" s="37" t="s">
        <v>1592</v>
      </c>
      <c r="C503" s="37" t="s">
        <v>1433</v>
      </c>
      <c r="D503" t="s">
        <v>1112</v>
      </c>
      <c r="E503" t="s">
        <v>1113</v>
      </c>
      <c r="F503">
        <v>1</v>
      </c>
      <c r="G503">
        <v>0</v>
      </c>
      <c r="H503">
        <v>29</v>
      </c>
      <c r="I503">
        <v>0</v>
      </c>
      <c r="J503" t="s">
        <v>43</v>
      </c>
      <c r="K503" s="29" t="s">
        <v>478</v>
      </c>
      <c r="P503" s="18">
        <v>5</v>
      </c>
    </row>
    <row r="504" spans="1:16" x14ac:dyDescent="0.45">
      <c r="A504" s="37">
        <v>503</v>
      </c>
      <c r="B504" s="37" t="s">
        <v>262</v>
      </c>
      <c r="C504" s="37" t="s">
        <v>1533</v>
      </c>
      <c r="D504" t="s">
        <v>1114</v>
      </c>
      <c r="E504" t="s">
        <v>1115</v>
      </c>
      <c r="F504">
        <v>1</v>
      </c>
      <c r="G504">
        <v>0</v>
      </c>
      <c r="H504">
        <v>42</v>
      </c>
      <c r="I504">
        <v>0</v>
      </c>
      <c r="J504" t="s">
        <v>43</v>
      </c>
      <c r="K504" s="29" t="s">
        <v>478</v>
      </c>
      <c r="L504" s="9">
        <v>9</v>
      </c>
      <c r="P504" s="18">
        <v>9</v>
      </c>
    </row>
    <row r="505" spans="1:16" x14ac:dyDescent="0.45">
      <c r="A505" s="37">
        <v>504</v>
      </c>
      <c r="B505" s="37" t="s">
        <v>409</v>
      </c>
      <c r="C505" s="37" t="s">
        <v>1593</v>
      </c>
      <c r="D505" s="12" t="s">
        <v>451</v>
      </c>
      <c r="E505" s="12" t="s">
        <v>452</v>
      </c>
      <c r="F505" s="12">
        <v>0</v>
      </c>
      <c r="G505" s="12">
        <v>1</v>
      </c>
      <c r="H505" s="12">
        <v>42</v>
      </c>
      <c r="I505" s="12">
        <v>0</v>
      </c>
      <c r="J505" s="12" t="s">
        <v>43</v>
      </c>
      <c r="K505" s="28">
        <v>1</v>
      </c>
      <c r="L505" s="9">
        <v>9</v>
      </c>
      <c r="N505" t="e">
        <v>#REF!</v>
      </c>
      <c r="O505" t="str">
        <f>_xlfn.CONCAT(B505, " ", C505)</f>
        <v>Margaux Becker</v>
      </c>
      <c r="P505" s="18">
        <v>9</v>
      </c>
    </row>
    <row r="506" spans="1:16" x14ac:dyDescent="0.45">
      <c r="A506" s="37">
        <v>505</v>
      </c>
      <c r="B506" s="37" t="s">
        <v>292</v>
      </c>
      <c r="C506" s="37" t="s">
        <v>1251</v>
      </c>
      <c r="D506" t="s">
        <v>1116</v>
      </c>
      <c r="E506" t="s">
        <v>1117</v>
      </c>
      <c r="F506">
        <v>1</v>
      </c>
      <c r="G506">
        <v>0</v>
      </c>
      <c r="H506">
        <v>8</v>
      </c>
      <c r="I506">
        <v>0</v>
      </c>
      <c r="J506" t="s">
        <v>43</v>
      </c>
      <c r="K506" s="29" t="s">
        <v>478</v>
      </c>
      <c r="P506" s="18">
        <v>8</v>
      </c>
    </row>
    <row r="507" spans="1:16" x14ac:dyDescent="0.45">
      <c r="A507" s="37">
        <v>506</v>
      </c>
      <c r="B507" s="37" t="s">
        <v>1211</v>
      </c>
      <c r="C507" s="37" t="s">
        <v>1473</v>
      </c>
      <c r="D507" s="12" t="s">
        <v>454</v>
      </c>
      <c r="E507" s="12" t="s">
        <v>455</v>
      </c>
      <c r="F507" s="12">
        <v>0</v>
      </c>
      <c r="G507" s="12">
        <v>1</v>
      </c>
      <c r="H507" s="12">
        <v>19</v>
      </c>
      <c r="I507" s="12">
        <v>0</v>
      </c>
      <c r="J507" s="12" t="s">
        <v>43</v>
      </c>
      <c r="K507" s="28">
        <v>1</v>
      </c>
      <c r="N507" t="e">
        <v>#REF!</v>
      </c>
      <c r="O507" t="str">
        <f>_xlfn.CONCAT(B507, " ", C507)</f>
        <v>Margaret Renard</v>
      </c>
      <c r="P507" s="18">
        <v>3</v>
      </c>
    </row>
    <row r="508" spans="1:16" x14ac:dyDescent="0.45">
      <c r="A508" s="37">
        <v>507</v>
      </c>
      <c r="B508" s="37" t="s">
        <v>1216</v>
      </c>
      <c r="C508" s="37" t="s">
        <v>1218</v>
      </c>
      <c r="D508" t="s">
        <v>1118</v>
      </c>
      <c r="E508" t="s">
        <v>1119</v>
      </c>
      <c r="F508">
        <v>1</v>
      </c>
      <c r="G508">
        <v>0</v>
      </c>
      <c r="H508">
        <v>14</v>
      </c>
      <c r="I508">
        <v>0</v>
      </c>
      <c r="J508" t="s">
        <v>43</v>
      </c>
      <c r="K508" s="29" t="s">
        <v>478</v>
      </c>
      <c r="P508" s="18">
        <v>7</v>
      </c>
    </row>
    <row r="509" spans="1:16" x14ac:dyDescent="0.45">
      <c r="A509" s="37">
        <v>508</v>
      </c>
      <c r="B509" s="37" t="s">
        <v>1451</v>
      </c>
      <c r="C509" s="37" t="s">
        <v>1336</v>
      </c>
      <c r="D509" s="12" t="s">
        <v>456</v>
      </c>
      <c r="E509" s="12" t="s">
        <v>457</v>
      </c>
      <c r="F509" s="12">
        <v>0</v>
      </c>
      <c r="G509" s="12">
        <v>1</v>
      </c>
      <c r="H509" s="12">
        <v>32</v>
      </c>
      <c r="I509" s="12">
        <v>0</v>
      </c>
      <c r="J509" s="12" t="s">
        <v>43</v>
      </c>
      <c r="K509" s="28">
        <v>1</v>
      </c>
      <c r="N509" t="e">
        <v>#REF!</v>
      </c>
      <c r="O509" t="str">
        <f>_xlfn.CONCAT(B509, " ", C509)</f>
        <v>Monique Monnier</v>
      </c>
      <c r="P509" s="18">
        <v>6</v>
      </c>
    </row>
    <row r="510" spans="1:16" x14ac:dyDescent="0.45">
      <c r="A510" s="37">
        <v>509</v>
      </c>
      <c r="B510" s="37" t="s">
        <v>522</v>
      </c>
      <c r="C510" s="37" t="s">
        <v>1554</v>
      </c>
      <c r="D510" t="s">
        <v>1120</v>
      </c>
      <c r="E510" t="s">
        <v>1121</v>
      </c>
      <c r="F510">
        <v>1</v>
      </c>
      <c r="G510">
        <v>0</v>
      </c>
      <c r="H510">
        <v>28</v>
      </c>
      <c r="I510">
        <v>0</v>
      </c>
      <c r="J510" t="s">
        <v>43</v>
      </c>
      <c r="K510" s="29" t="s">
        <v>478</v>
      </c>
      <c r="P510" s="18">
        <v>7</v>
      </c>
    </row>
    <row r="511" spans="1:16" x14ac:dyDescent="0.45">
      <c r="A511" s="37">
        <v>510</v>
      </c>
      <c r="B511" s="37" t="s">
        <v>1270</v>
      </c>
      <c r="C511" s="37" t="s">
        <v>1351</v>
      </c>
      <c r="D511" t="s">
        <v>1122</v>
      </c>
      <c r="E511" t="s">
        <v>1123</v>
      </c>
      <c r="F511">
        <v>1</v>
      </c>
      <c r="G511">
        <v>0</v>
      </c>
      <c r="H511">
        <v>21</v>
      </c>
      <c r="I511">
        <v>0</v>
      </c>
      <c r="J511" t="s">
        <v>43</v>
      </c>
      <c r="K511" s="29" t="s">
        <v>478</v>
      </c>
      <c r="P511" s="18">
        <v>3</v>
      </c>
    </row>
    <row r="512" spans="1:16" x14ac:dyDescent="0.45">
      <c r="A512" s="37">
        <v>511</v>
      </c>
      <c r="B512" s="37" t="s">
        <v>473</v>
      </c>
      <c r="C512" s="37" t="s">
        <v>1370</v>
      </c>
      <c r="D512" t="s">
        <v>1124</v>
      </c>
      <c r="E512" t="s">
        <v>1125</v>
      </c>
      <c r="F512">
        <v>1</v>
      </c>
      <c r="G512">
        <v>0</v>
      </c>
      <c r="H512">
        <v>9</v>
      </c>
      <c r="I512">
        <v>0</v>
      </c>
      <c r="J512" t="s">
        <v>43</v>
      </c>
      <c r="K512" s="29" t="s">
        <v>478</v>
      </c>
      <c r="P512" s="18">
        <v>1</v>
      </c>
    </row>
    <row r="513" spans="1:16" x14ac:dyDescent="0.45">
      <c r="A513" s="37">
        <v>512</v>
      </c>
      <c r="B513" s="37" t="s">
        <v>1366</v>
      </c>
      <c r="C513" s="37" t="s">
        <v>1476</v>
      </c>
      <c r="D513" t="s">
        <v>1126</v>
      </c>
      <c r="E513" t="s">
        <v>1127</v>
      </c>
      <c r="F513">
        <v>1</v>
      </c>
      <c r="G513">
        <v>0</v>
      </c>
      <c r="H513">
        <v>30</v>
      </c>
      <c r="I513">
        <v>0</v>
      </c>
      <c r="J513" t="s">
        <v>43</v>
      </c>
      <c r="K513" s="29" t="s">
        <v>478</v>
      </c>
      <c r="P513" s="18">
        <v>8</v>
      </c>
    </row>
    <row r="514" spans="1:16" x14ac:dyDescent="0.45">
      <c r="A514" s="37">
        <v>513</v>
      </c>
      <c r="B514" s="37" t="s">
        <v>742</v>
      </c>
      <c r="C514" s="37" t="s">
        <v>1594</v>
      </c>
      <c r="D514" t="s">
        <v>1128</v>
      </c>
      <c r="E514" t="s">
        <v>1129</v>
      </c>
      <c r="F514">
        <v>1</v>
      </c>
      <c r="G514">
        <v>0</v>
      </c>
      <c r="H514">
        <v>39</v>
      </c>
      <c r="I514">
        <v>0</v>
      </c>
      <c r="J514" t="s">
        <v>43</v>
      </c>
      <c r="K514" s="29" t="s">
        <v>478</v>
      </c>
      <c r="P514" s="18">
        <v>3</v>
      </c>
    </row>
    <row r="515" spans="1:16" x14ac:dyDescent="0.45">
      <c r="A515" s="37">
        <v>514</v>
      </c>
      <c r="B515" s="37" t="s">
        <v>1388</v>
      </c>
      <c r="C515" s="37" t="s">
        <v>1401</v>
      </c>
      <c r="D515" t="s">
        <v>1130</v>
      </c>
      <c r="E515" t="s">
        <v>1131</v>
      </c>
      <c r="F515">
        <v>1</v>
      </c>
      <c r="G515">
        <v>0</v>
      </c>
      <c r="H515">
        <v>7</v>
      </c>
      <c r="I515">
        <v>0</v>
      </c>
      <c r="J515" t="s">
        <v>43</v>
      </c>
      <c r="K515" s="29" t="s">
        <v>478</v>
      </c>
      <c r="P515" s="18">
        <v>1</v>
      </c>
    </row>
    <row r="516" spans="1:16" x14ac:dyDescent="0.45">
      <c r="A516" s="37">
        <v>515</v>
      </c>
      <c r="B516" s="37" t="s">
        <v>917</v>
      </c>
      <c r="C516" s="37" t="s">
        <v>1532</v>
      </c>
      <c r="D516" s="12" t="s">
        <v>458</v>
      </c>
      <c r="E516" s="12" t="s">
        <v>459</v>
      </c>
      <c r="F516" s="12">
        <v>0</v>
      </c>
      <c r="G516" s="12">
        <v>1</v>
      </c>
      <c r="H516" s="12">
        <v>35</v>
      </c>
      <c r="I516" s="12">
        <v>0</v>
      </c>
      <c r="J516" s="12" t="s">
        <v>43</v>
      </c>
      <c r="K516" s="28">
        <v>1</v>
      </c>
      <c r="N516" t="e">
        <v>#REF!</v>
      </c>
      <c r="O516" t="str">
        <f>_xlfn.CONCAT(B516, " ", C516)</f>
        <v>Emmanuel Delmas</v>
      </c>
      <c r="P516" s="18">
        <v>9</v>
      </c>
    </row>
    <row r="517" spans="1:16" x14ac:dyDescent="0.45">
      <c r="A517" s="37">
        <v>516</v>
      </c>
      <c r="B517" s="37" t="s">
        <v>1535</v>
      </c>
      <c r="C517" s="37" t="s">
        <v>1282</v>
      </c>
      <c r="D517" s="12" t="s">
        <v>460</v>
      </c>
      <c r="E517" s="12" t="s">
        <v>461</v>
      </c>
      <c r="F517" s="12">
        <v>0</v>
      </c>
      <c r="G517" s="12">
        <v>1</v>
      </c>
      <c r="H517" s="12">
        <v>38</v>
      </c>
      <c r="I517" s="12">
        <v>0</v>
      </c>
      <c r="J517" s="12" t="s">
        <v>43</v>
      </c>
      <c r="K517" s="28">
        <v>1</v>
      </c>
      <c r="N517" t="e">
        <v>#REF!</v>
      </c>
      <c r="O517" t="str">
        <f>_xlfn.CONCAT(B517, " ", C517)</f>
        <v>Danielle Lecomte</v>
      </c>
      <c r="P517" s="18">
        <v>4</v>
      </c>
    </row>
    <row r="518" spans="1:16" x14ac:dyDescent="0.45">
      <c r="A518" s="37">
        <v>517</v>
      </c>
      <c r="B518" s="37" t="s">
        <v>1373</v>
      </c>
      <c r="C518" s="37" t="s">
        <v>105</v>
      </c>
      <c r="D518" s="12" t="s">
        <v>156</v>
      </c>
      <c r="E518" s="12" t="s">
        <v>157</v>
      </c>
      <c r="F518" s="12">
        <v>0</v>
      </c>
      <c r="G518" s="12">
        <v>0</v>
      </c>
      <c r="H518" s="12"/>
      <c r="I518" s="12">
        <v>1</v>
      </c>
      <c r="J518" s="12" t="s">
        <v>158</v>
      </c>
      <c r="K518" s="28">
        <v>1</v>
      </c>
      <c r="L518" s="9">
        <v>4</v>
      </c>
      <c r="M518" s="9">
        <v>1</v>
      </c>
      <c r="N518" t="e">
        <v>#REF!</v>
      </c>
      <c r="O518" t="str">
        <f>_xlfn.CONCAT(B518, " ", C518)</f>
        <v>Alexandria Gaudin</v>
      </c>
      <c r="P518" s="18">
        <v>4</v>
      </c>
    </row>
    <row r="519" spans="1:16" x14ac:dyDescent="0.45">
      <c r="A519" s="37">
        <v>518</v>
      </c>
      <c r="B519" s="37" t="s">
        <v>233</v>
      </c>
      <c r="C519" s="37" t="s">
        <v>1516</v>
      </c>
      <c r="D519" t="s">
        <v>1132</v>
      </c>
      <c r="E519" t="s">
        <v>1133</v>
      </c>
      <c r="F519">
        <v>1</v>
      </c>
      <c r="G519">
        <v>0</v>
      </c>
      <c r="H519">
        <v>32</v>
      </c>
      <c r="I519">
        <v>0</v>
      </c>
      <c r="J519" t="s">
        <v>43</v>
      </c>
      <c r="K519" s="29" t="s">
        <v>478</v>
      </c>
      <c r="P519" s="18">
        <v>6</v>
      </c>
    </row>
    <row r="520" spans="1:16" x14ac:dyDescent="0.45">
      <c r="A520" s="37">
        <v>519</v>
      </c>
      <c r="B520" s="37" t="s">
        <v>1302</v>
      </c>
      <c r="C520" s="37" t="s">
        <v>1526</v>
      </c>
      <c r="D520" t="s">
        <v>1134</v>
      </c>
      <c r="E520" t="s">
        <v>1135</v>
      </c>
      <c r="F520">
        <v>1</v>
      </c>
      <c r="G520">
        <v>0</v>
      </c>
      <c r="H520">
        <v>16</v>
      </c>
      <c r="I520">
        <v>0</v>
      </c>
      <c r="J520" t="s">
        <v>43</v>
      </c>
      <c r="K520" s="29" t="s">
        <v>487</v>
      </c>
      <c r="P520" s="18">
        <v>6</v>
      </c>
    </row>
    <row r="521" spans="1:16" x14ac:dyDescent="0.45">
      <c r="A521" s="37">
        <v>520</v>
      </c>
      <c r="B521" s="37" t="s">
        <v>705</v>
      </c>
      <c r="C521" s="37" t="s">
        <v>1368</v>
      </c>
      <c r="D521" t="s">
        <v>1137</v>
      </c>
      <c r="E521" t="s">
        <v>1138</v>
      </c>
      <c r="F521">
        <v>1</v>
      </c>
      <c r="G521">
        <v>0</v>
      </c>
      <c r="H521">
        <v>37</v>
      </c>
      <c r="I521">
        <v>0</v>
      </c>
      <c r="J521" t="s">
        <v>43</v>
      </c>
      <c r="K521" s="29" t="s">
        <v>478</v>
      </c>
      <c r="P521" s="18">
        <v>5</v>
      </c>
    </row>
    <row r="522" spans="1:16" x14ac:dyDescent="0.45">
      <c r="A522" s="37">
        <v>521</v>
      </c>
      <c r="B522" s="37" t="s">
        <v>881</v>
      </c>
      <c r="C522" s="37" t="s">
        <v>1595</v>
      </c>
      <c r="D522" t="s">
        <v>1139</v>
      </c>
      <c r="E522" t="s">
        <v>1140</v>
      </c>
      <c r="F522">
        <v>1</v>
      </c>
      <c r="G522">
        <v>0</v>
      </c>
      <c r="H522">
        <v>25</v>
      </c>
      <c r="I522">
        <v>0</v>
      </c>
      <c r="J522" t="s">
        <v>43</v>
      </c>
      <c r="K522" s="29" t="s">
        <v>478</v>
      </c>
      <c r="P522" s="18">
        <v>2</v>
      </c>
    </row>
    <row r="523" spans="1:16" x14ac:dyDescent="0.45">
      <c r="A523" s="37">
        <v>522</v>
      </c>
      <c r="B523" s="37" t="s">
        <v>1226</v>
      </c>
      <c r="C523" s="37" t="s">
        <v>1560</v>
      </c>
      <c r="D523" s="12" t="s">
        <v>462</v>
      </c>
      <c r="E523" s="12" t="s">
        <v>463</v>
      </c>
      <c r="F523" s="12">
        <v>0</v>
      </c>
      <c r="G523" s="12">
        <v>1</v>
      </c>
      <c r="H523" s="12">
        <v>33</v>
      </c>
      <c r="I523" s="12">
        <v>0</v>
      </c>
      <c r="J523" s="12" t="s">
        <v>43</v>
      </c>
      <c r="K523" s="28">
        <v>1</v>
      </c>
      <c r="N523" t="e">
        <v>#REF!</v>
      </c>
      <c r="O523" t="str">
        <f>_xlfn.CONCAT(B523, " ", C523)</f>
        <v>Élise Normand</v>
      </c>
      <c r="P523" s="18">
        <v>8</v>
      </c>
    </row>
    <row r="524" spans="1:16" x14ac:dyDescent="0.45">
      <c r="A524" s="37">
        <v>523</v>
      </c>
      <c r="B524" s="37" t="s">
        <v>671</v>
      </c>
      <c r="C524" s="37" t="s">
        <v>1251</v>
      </c>
      <c r="D524" t="s">
        <v>1141</v>
      </c>
      <c r="E524" t="s">
        <v>1142</v>
      </c>
      <c r="F524">
        <v>1</v>
      </c>
      <c r="G524">
        <v>0</v>
      </c>
      <c r="H524">
        <v>16</v>
      </c>
      <c r="I524">
        <v>0</v>
      </c>
      <c r="J524" t="s">
        <v>43</v>
      </c>
      <c r="K524" s="29" t="s">
        <v>487</v>
      </c>
      <c r="P524" s="18">
        <v>6</v>
      </c>
    </row>
    <row r="525" spans="1:16" x14ac:dyDescent="0.45">
      <c r="A525" s="37">
        <v>524</v>
      </c>
      <c r="B525" s="37" t="s">
        <v>1230</v>
      </c>
      <c r="C525" s="37" t="s">
        <v>1468</v>
      </c>
      <c r="D525" s="12" t="s">
        <v>159</v>
      </c>
      <c r="E525" s="12" t="s">
        <v>160</v>
      </c>
      <c r="F525" s="12">
        <v>0</v>
      </c>
      <c r="G525" s="12">
        <v>0</v>
      </c>
      <c r="H525" s="12"/>
      <c r="I525" s="12">
        <v>1</v>
      </c>
      <c r="J525" s="12" t="s">
        <v>161</v>
      </c>
      <c r="K525" s="28">
        <v>1</v>
      </c>
      <c r="L525" s="9">
        <v>1</v>
      </c>
      <c r="N525" t="e">
        <v>#REF!</v>
      </c>
      <c r="O525" t="str">
        <f>_xlfn.CONCAT(B525, " ", C525)</f>
        <v>Céline Letellier</v>
      </c>
      <c r="P525" s="18">
        <v>1</v>
      </c>
    </row>
    <row r="526" spans="1:16" x14ac:dyDescent="0.45">
      <c r="A526" s="37">
        <v>525</v>
      </c>
      <c r="B526" s="37" t="s">
        <v>1337</v>
      </c>
      <c r="C526" s="37" t="s">
        <v>1369</v>
      </c>
      <c r="D526" s="12" t="s">
        <v>464</v>
      </c>
      <c r="E526" s="12" t="s">
        <v>465</v>
      </c>
      <c r="F526" s="12">
        <v>0</v>
      </c>
      <c r="G526" s="12">
        <v>1</v>
      </c>
      <c r="H526" s="12">
        <v>29</v>
      </c>
      <c r="I526" s="12">
        <v>0</v>
      </c>
      <c r="J526" s="12" t="s">
        <v>43</v>
      </c>
      <c r="K526" s="28">
        <v>1</v>
      </c>
      <c r="N526" t="e">
        <v>#REF!</v>
      </c>
      <c r="O526" t="str">
        <f>_xlfn.CONCAT(B526, " ", C526)</f>
        <v>Sabine Dijoux</v>
      </c>
      <c r="P526" s="18">
        <v>5</v>
      </c>
    </row>
    <row r="527" spans="1:16" x14ac:dyDescent="0.45">
      <c r="A527" s="37">
        <v>526</v>
      </c>
      <c r="B527" s="37" t="s">
        <v>671</v>
      </c>
      <c r="C527" s="37" t="s">
        <v>1299</v>
      </c>
      <c r="D527" t="s">
        <v>1144</v>
      </c>
      <c r="E527" t="s">
        <v>1145</v>
      </c>
      <c r="F527">
        <v>1</v>
      </c>
      <c r="G527">
        <v>0</v>
      </c>
      <c r="H527">
        <v>40</v>
      </c>
      <c r="I527">
        <v>0</v>
      </c>
      <c r="J527" t="s">
        <v>43</v>
      </c>
      <c r="K527" s="29" t="s">
        <v>478</v>
      </c>
      <c r="L527" s="9">
        <v>9</v>
      </c>
      <c r="P527" s="18">
        <v>9</v>
      </c>
    </row>
    <row r="528" spans="1:16" x14ac:dyDescent="0.45">
      <c r="A528" s="37">
        <v>527</v>
      </c>
      <c r="B528" s="37" t="s">
        <v>511</v>
      </c>
      <c r="C528" s="37" t="s">
        <v>1485</v>
      </c>
      <c r="D528" t="s">
        <v>1146</v>
      </c>
      <c r="E528" t="s">
        <v>1147</v>
      </c>
      <c r="F528">
        <v>1</v>
      </c>
      <c r="G528">
        <v>0</v>
      </c>
      <c r="H528">
        <v>13</v>
      </c>
      <c r="I528">
        <v>0</v>
      </c>
      <c r="J528" t="s">
        <v>43</v>
      </c>
      <c r="K528" s="29" t="s">
        <v>478</v>
      </c>
      <c r="P528" s="18">
        <v>4</v>
      </c>
    </row>
    <row r="529" spans="1:16" x14ac:dyDescent="0.45">
      <c r="A529" s="37">
        <v>528</v>
      </c>
      <c r="B529" s="37" t="s">
        <v>556</v>
      </c>
      <c r="C529" s="37" t="s">
        <v>89</v>
      </c>
      <c r="D529" t="s">
        <v>1148</v>
      </c>
      <c r="E529" t="s">
        <v>1149</v>
      </c>
      <c r="F529">
        <v>1</v>
      </c>
      <c r="G529">
        <v>0</v>
      </c>
      <c r="H529">
        <v>28</v>
      </c>
      <c r="I529">
        <v>0</v>
      </c>
      <c r="J529" t="s">
        <v>43</v>
      </c>
      <c r="K529" s="29" t="s">
        <v>478</v>
      </c>
      <c r="P529" s="18">
        <v>7</v>
      </c>
    </row>
    <row r="530" spans="1:16" x14ac:dyDescent="0.45">
      <c r="A530" s="37">
        <v>529</v>
      </c>
      <c r="B530" s="37" t="s">
        <v>1292</v>
      </c>
      <c r="C530" s="37" t="s">
        <v>1576</v>
      </c>
      <c r="D530" s="12" t="s">
        <v>467</v>
      </c>
      <c r="E530" s="12" t="s">
        <v>468</v>
      </c>
      <c r="F530" s="12">
        <v>0</v>
      </c>
      <c r="G530" s="12">
        <v>1</v>
      </c>
      <c r="H530" s="12">
        <v>19</v>
      </c>
      <c r="I530" s="12">
        <v>0</v>
      </c>
      <c r="J530" s="12" t="s">
        <v>43</v>
      </c>
      <c r="K530" s="28">
        <v>1</v>
      </c>
      <c r="N530" t="e">
        <v>#REF!</v>
      </c>
      <c r="O530" t="str">
        <f>_xlfn.CONCAT(B530, " ", C530)</f>
        <v>Henriette Duval</v>
      </c>
      <c r="P530" s="18">
        <v>3</v>
      </c>
    </row>
    <row r="531" spans="1:16" x14ac:dyDescent="0.45">
      <c r="A531" s="37">
        <v>530</v>
      </c>
      <c r="B531" s="37" t="s">
        <v>1596</v>
      </c>
      <c r="C531" s="37" t="s">
        <v>1341</v>
      </c>
      <c r="D531" s="12" t="s">
        <v>469</v>
      </c>
      <c r="E531" s="12" t="s">
        <v>470</v>
      </c>
      <c r="F531" s="12">
        <v>0</v>
      </c>
      <c r="G531" s="12">
        <v>1</v>
      </c>
      <c r="H531" s="12">
        <v>37</v>
      </c>
      <c r="I531" s="12">
        <v>0</v>
      </c>
      <c r="J531" s="12" t="s">
        <v>43</v>
      </c>
      <c r="K531" s="28">
        <v>1</v>
      </c>
      <c r="N531" t="e">
        <v>#REF!</v>
      </c>
      <c r="O531" t="str">
        <f>_xlfn.CONCAT(B531, " ", C531)</f>
        <v>Anouk Delaunay</v>
      </c>
      <c r="P531" s="18">
        <v>5</v>
      </c>
    </row>
    <row r="532" spans="1:16" x14ac:dyDescent="0.45">
      <c r="A532" s="37">
        <v>531</v>
      </c>
      <c r="B532" s="37" t="s">
        <v>511</v>
      </c>
      <c r="C532" s="37" t="s">
        <v>1493</v>
      </c>
      <c r="D532" t="s">
        <v>1151</v>
      </c>
      <c r="E532" t="s">
        <v>1152</v>
      </c>
      <c r="F532">
        <v>1</v>
      </c>
      <c r="G532">
        <v>0</v>
      </c>
      <c r="H532">
        <v>17</v>
      </c>
      <c r="I532">
        <v>0</v>
      </c>
      <c r="J532" t="s">
        <v>43</v>
      </c>
      <c r="K532" s="29" t="s">
        <v>478</v>
      </c>
      <c r="P532" s="18">
        <v>3</v>
      </c>
    </row>
    <row r="533" spans="1:16" x14ac:dyDescent="0.45">
      <c r="A533" s="37">
        <v>532</v>
      </c>
      <c r="B533" s="37" t="s">
        <v>1584</v>
      </c>
      <c r="C533" s="37" t="s">
        <v>1282</v>
      </c>
      <c r="D533" s="12" t="s">
        <v>162</v>
      </c>
      <c r="E533" s="12" t="s">
        <v>163</v>
      </c>
      <c r="F533" s="12">
        <v>0</v>
      </c>
      <c r="G533" s="12">
        <v>0</v>
      </c>
      <c r="H533" s="12"/>
      <c r="I533" s="12">
        <v>1</v>
      </c>
      <c r="J533" s="12" t="s">
        <v>124</v>
      </c>
      <c r="K533" s="28">
        <v>1</v>
      </c>
      <c r="L533" s="9">
        <v>8</v>
      </c>
      <c r="M533" s="9">
        <v>1</v>
      </c>
      <c r="N533" t="e">
        <v>#REF!</v>
      </c>
      <c r="O533" t="str">
        <f>_xlfn.CONCAT(B533, " ", C533)</f>
        <v>Élisabeth Lecomte</v>
      </c>
      <c r="P533" s="18">
        <v>8</v>
      </c>
    </row>
    <row r="534" spans="1:16" x14ac:dyDescent="0.45">
      <c r="A534" s="37">
        <v>533</v>
      </c>
      <c r="B534" s="37" t="s">
        <v>1546</v>
      </c>
      <c r="C534" s="37" t="s">
        <v>1597</v>
      </c>
      <c r="D534" s="12" t="s">
        <v>471</v>
      </c>
      <c r="E534" s="12" t="s">
        <v>472</v>
      </c>
      <c r="F534" s="12">
        <v>0</v>
      </c>
      <c r="G534" s="12">
        <v>1</v>
      </c>
      <c r="H534" s="12">
        <v>13</v>
      </c>
      <c r="I534" s="12">
        <v>0</v>
      </c>
      <c r="J534" s="12" t="s">
        <v>43</v>
      </c>
      <c r="K534" s="28">
        <v>1</v>
      </c>
      <c r="N534" t="e">
        <v>#REF!</v>
      </c>
      <c r="O534" t="str">
        <f>_xlfn.CONCAT(B534, " ", C534)</f>
        <v>Lorraine Besnard</v>
      </c>
      <c r="P534" s="18">
        <v>4</v>
      </c>
    </row>
    <row r="535" spans="1:16" x14ac:dyDescent="0.45">
      <c r="A535" s="37">
        <v>534</v>
      </c>
      <c r="B535" s="37" t="s">
        <v>1598</v>
      </c>
      <c r="C535" s="37" t="s">
        <v>1372</v>
      </c>
      <c r="D535" t="s">
        <v>1153</v>
      </c>
      <c r="E535" t="s">
        <v>1154</v>
      </c>
      <c r="F535">
        <v>1</v>
      </c>
      <c r="G535">
        <v>0</v>
      </c>
      <c r="H535">
        <v>12</v>
      </c>
      <c r="I535">
        <v>0</v>
      </c>
      <c r="J535" t="s">
        <v>43</v>
      </c>
      <c r="K535" s="29" t="s">
        <v>487</v>
      </c>
      <c r="P535" s="18">
        <v>1</v>
      </c>
    </row>
    <row r="536" spans="1:16" x14ac:dyDescent="0.45">
      <c r="A536" s="37">
        <v>535</v>
      </c>
      <c r="B536" s="37" t="s">
        <v>1295</v>
      </c>
      <c r="C536" s="37" t="s">
        <v>1374</v>
      </c>
      <c r="D536" t="s">
        <v>1155</v>
      </c>
      <c r="E536" t="s">
        <v>1156</v>
      </c>
      <c r="F536">
        <v>1</v>
      </c>
      <c r="G536">
        <v>0</v>
      </c>
      <c r="H536">
        <v>14</v>
      </c>
      <c r="I536">
        <v>0</v>
      </c>
      <c r="J536" t="s">
        <v>43</v>
      </c>
      <c r="K536" s="29" t="s">
        <v>478</v>
      </c>
      <c r="P536" s="18">
        <v>7</v>
      </c>
    </row>
    <row r="537" spans="1:16" x14ac:dyDescent="0.45">
      <c r="A537" s="37">
        <v>536</v>
      </c>
      <c r="B537" s="37" t="s">
        <v>1366</v>
      </c>
      <c r="C537" s="37" t="s">
        <v>1558</v>
      </c>
      <c r="D537" t="s">
        <v>1157</v>
      </c>
      <c r="E537" t="s">
        <v>1158</v>
      </c>
      <c r="F537">
        <v>1</v>
      </c>
      <c r="G537">
        <v>0</v>
      </c>
      <c r="H537">
        <v>19</v>
      </c>
      <c r="I537">
        <v>0</v>
      </c>
      <c r="J537" t="s">
        <v>43</v>
      </c>
      <c r="K537" s="29" t="s">
        <v>478</v>
      </c>
      <c r="P537" s="18">
        <v>3</v>
      </c>
    </row>
    <row r="538" spans="1:16" x14ac:dyDescent="0.45">
      <c r="A538" s="37">
        <v>537</v>
      </c>
      <c r="B538" s="37" t="s">
        <v>1216</v>
      </c>
      <c r="C538" s="37" t="s">
        <v>1372</v>
      </c>
      <c r="D538" t="s">
        <v>1159</v>
      </c>
      <c r="E538" t="s">
        <v>1160</v>
      </c>
      <c r="F538">
        <v>1</v>
      </c>
      <c r="G538">
        <v>0</v>
      </c>
      <c r="H538">
        <v>29</v>
      </c>
      <c r="I538">
        <v>0</v>
      </c>
      <c r="J538" t="s">
        <v>43</v>
      </c>
      <c r="K538" s="29" t="s">
        <v>478</v>
      </c>
      <c r="P538" s="18">
        <v>5</v>
      </c>
    </row>
    <row r="539" spans="1:16" x14ac:dyDescent="0.45">
      <c r="A539" s="37">
        <v>538</v>
      </c>
      <c r="B539" s="37" t="s">
        <v>1598</v>
      </c>
      <c r="C539" s="37" t="s">
        <v>1599</v>
      </c>
      <c r="D539" t="s">
        <v>1161</v>
      </c>
      <c r="E539" t="s">
        <v>1162</v>
      </c>
      <c r="F539">
        <v>1</v>
      </c>
      <c r="G539">
        <v>0</v>
      </c>
      <c r="H539">
        <v>14</v>
      </c>
      <c r="I539">
        <v>0</v>
      </c>
      <c r="J539" t="s">
        <v>43</v>
      </c>
      <c r="K539" s="29" t="s">
        <v>478</v>
      </c>
      <c r="P539" s="18">
        <v>7</v>
      </c>
    </row>
    <row r="540" spans="1:16" x14ac:dyDescent="0.45">
      <c r="A540" s="37">
        <v>539</v>
      </c>
      <c r="B540" s="37" t="s">
        <v>1226</v>
      </c>
      <c r="C540" s="37" t="s">
        <v>1600</v>
      </c>
      <c r="D540" s="12" t="s">
        <v>474</v>
      </c>
      <c r="E540" s="12" t="s">
        <v>475</v>
      </c>
      <c r="F540" s="12">
        <v>0</v>
      </c>
      <c r="G540" s="12">
        <v>1</v>
      </c>
      <c r="H540" s="12">
        <v>26</v>
      </c>
      <c r="I540" s="12">
        <v>0</v>
      </c>
      <c r="J540" s="12" t="s">
        <v>43</v>
      </c>
      <c r="K540" s="28">
        <v>1</v>
      </c>
      <c r="N540" t="e">
        <v>#REF!</v>
      </c>
      <c r="O540" t="str">
        <f>_xlfn.CONCAT(B540, " ", C540)</f>
        <v>Élise Mercier</v>
      </c>
      <c r="P540" s="18">
        <v>4</v>
      </c>
    </row>
    <row r="541" spans="1:16" x14ac:dyDescent="0.45">
      <c r="A541" s="37">
        <v>540</v>
      </c>
      <c r="B541" s="37" t="s">
        <v>1561</v>
      </c>
      <c r="C541" s="37" t="s">
        <v>1417</v>
      </c>
      <c r="D541" t="s">
        <v>1163</v>
      </c>
      <c r="E541" t="s">
        <v>1164</v>
      </c>
      <c r="F541">
        <v>1</v>
      </c>
      <c r="G541">
        <v>0</v>
      </c>
      <c r="H541">
        <v>26</v>
      </c>
      <c r="I541">
        <v>0</v>
      </c>
      <c r="J541" t="s">
        <v>43</v>
      </c>
      <c r="K541" s="29" t="s">
        <v>487</v>
      </c>
      <c r="P541" s="18">
        <v>4</v>
      </c>
    </row>
    <row r="542" spans="1:16" x14ac:dyDescent="0.45">
      <c r="A542" s="37">
        <v>541</v>
      </c>
      <c r="B542" s="37" t="s">
        <v>1425</v>
      </c>
      <c r="C542" s="37" t="s">
        <v>1601</v>
      </c>
      <c r="D542" t="s">
        <v>1165</v>
      </c>
      <c r="E542" t="s">
        <v>1166</v>
      </c>
      <c r="F542">
        <v>1</v>
      </c>
      <c r="G542">
        <v>0</v>
      </c>
      <c r="H542">
        <v>31</v>
      </c>
      <c r="I542">
        <v>0</v>
      </c>
      <c r="J542" t="s">
        <v>43</v>
      </c>
      <c r="K542" s="29" t="s">
        <v>478</v>
      </c>
      <c r="P542" s="18">
        <v>6</v>
      </c>
    </row>
    <row r="543" spans="1:16" x14ac:dyDescent="0.45">
      <c r="K543" s="29"/>
    </row>
    <row r="544" spans="1:16" x14ac:dyDescent="0.45">
      <c r="N544" s="1"/>
      <c r="O544" s="1"/>
    </row>
  </sheetData>
  <hyperlinks>
    <hyperlink ref="D415" r:id="rId1" xr:uid="{5B48A846-8062-4874-94A1-558836855E6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DBA4-A392-42FC-B07E-4C9AF02E949D}">
  <sheetPr codeName="Feuil3"/>
  <dimension ref="A1:AM25"/>
  <sheetViews>
    <sheetView workbookViewId="0">
      <selection activeCell="E3" sqref="E3"/>
    </sheetView>
  </sheetViews>
  <sheetFormatPr defaultColWidth="11.59765625" defaultRowHeight="14.25" x14ac:dyDescent="0.45"/>
  <cols>
    <col min="1" max="1" width="41.1328125" style="19" customWidth="1"/>
    <col min="2" max="16384" width="11.59765625" style="19"/>
  </cols>
  <sheetData>
    <row r="1" spans="1:39" x14ac:dyDescent="0.45">
      <c r="G1" s="20"/>
      <c r="H1" s="20"/>
      <c r="I1" s="20"/>
      <c r="K1" s="20"/>
      <c r="L1" s="20"/>
      <c r="M1" s="20"/>
      <c r="O1" s="20"/>
      <c r="P1" s="20"/>
      <c r="Q1" s="20"/>
    </row>
    <row r="2" spans="1:39" x14ac:dyDescent="0.45">
      <c r="B2" s="35" t="s">
        <v>22</v>
      </c>
      <c r="C2" s="35"/>
      <c r="E2" s="22" t="s">
        <v>1189</v>
      </c>
      <c r="G2" s="22" t="s">
        <v>1195</v>
      </c>
      <c r="I2" s="22" t="s">
        <v>38</v>
      </c>
      <c r="J2" s="23">
        <v>38</v>
      </c>
      <c r="N2" s="20"/>
    </row>
    <row r="3" spans="1:39" x14ac:dyDescent="0.45">
      <c r="B3" s="22">
        <v>1</v>
      </c>
      <c r="C3" s="21">
        <v>70</v>
      </c>
      <c r="E3" s="24">
        <f>COUNTIF(Tableau1[[#All],[BUS (Manuel)]],"="&amp;'2.Données'!B3)</f>
        <v>29</v>
      </c>
      <c r="G3" s="24">
        <f>SUM(C3:C12)</f>
        <v>564</v>
      </c>
      <c r="I3" s="22" t="s">
        <v>39</v>
      </c>
      <c r="J3" s="21">
        <v>9</v>
      </c>
    </row>
    <row r="4" spans="1:39" x14ac:dyDescent="0.45">
      <c r="B4" s="22">
        <v>2</v>
      </c>
      <c r="C4" s="21">
        <v>70</v>
      </c>
      <c r="E4" s="24">
        <f>COUNTIF(Tableau1[[#All],[BUS (Manuel)]],"="&amp;'2.Données'!B4)</f>
        <v>3</v>
      </c>
      <c r="J4" s="20"/>
      <c r="N4" s="20"/>
    </row>
    <row r="5" spans="1:39" x14ac:dyDescent="0.45">
      <c r="B5" s="22">
        <v>3</v>
      </c>
      <c r="C5" s="21">
        <v>70</v>
      </c>
      <c r="E5" s="24">
        <f>COUNTIF(Tableau1[[#All],[BUS (Manuel)]],"="&amp;'2.Données'!B5)</f>
        <v>3</v>
      </c>
      <c r="J5" s="20"/>
      <c r="N5" s="20"/>
    </row>
    <row r="6" spans="1:39" x14ac:dyDescent="0.45">
      <c r="B6" s="22">
        <v>4</v>
      </c>
      <c r="C6" s="21">
        <v>63</v>
      </c>
      <c r="E6" s="24">
        <f>COUNTIF(Tableau1[[#All],[BUS (Manuel)]],"="&amp;'2.Données'!B6)</f>
        <v>4</v>
      </c>
      <c r="J6" s="20"/>
      <c r="N6" s="20"/>
    </row>
    <row r="7" spans="1:39" x14ac:dyDescent="0.45">
      <c r="B7" s="22">
        <v>5</v>
      </c>
      <c r="C7" s="21">
        <v>59</v>
      </c>
      <c r="E7" s="24">
        <f>COUNTIF(Tableau1[[#All],[BUS (Manuel)]],"="&amp;'2.Données'!B7)</f>
        <v>2</v>
      </c>
      <c r="J7" s="20"/>
      <c r="N7" s="20"/>
    </row>
    <row r="8" spans="1:39" x14ac:dyDescent="0.45">
      <c r="B8" s="22">
        <v>6</v>
      </c>
      <c r="C8" s="21">
        <v>59</v>
      </c>
      <c r="E8" s="24">
        <f>COUNTIF(Tableau1[[#All],[BUS (Manuel)]],"="&amp;'2.Données'!B8)</f>
        <v>4</v>
      </c>
      <c r="J8" s="20"/>
      <c r="N8" s="20"/>
    </row>
    <row r="9" spans="1:39" x14ac:dyDescent="0.45">
      <c r="B9" s="22">
        <v>7</v>
      </c>
      <c r="C9" s="21">
        <v>57</v>
      </c>
      <c r="E9" s="24">
        <f>COUNTIF(Tableau1[[#All],[BUS (Manuel)]],"="&amp;'2.Données'!B9)</f>
        <v>1</v>
      </c>
      <c r="N9" s="20"/>
    </row>
    <row r="10" spans="1:39" x14ac:dyDescent="0.45">
      <c r="B10" s="22">
        <v>8</v>
      </c>
      <c r="C10" s="21">
        <v>61</v>
      </c>
      <c r="E10" s="24">
        <f>COUNTIF(Tableau1[[#All],[BUS (Manuel)]],"="&amp;'2.Données'!B10)</f>
        <v>1</v>
      </c>
      <c r="J10" s="20"/>
      <c r="N10" s="20"/>
      <c r="Q10" s="19">
        <f>SUM(B17:AM17,E3:E11)</f>
        <v>571</v>
      </c>
    </row>
    <row r="11" spans="1:39" x14ac:dyDescent="0.45">
      <c r="B11" s="22">
        <v>9</v>
      </c>
      <c r="C11" s="21">
        <v>55</v>
      </c>
      <c r="E11" s="24">
        <f>COUNTIF(Tableau1[[#All],[BUS (Manuel)]],"="&amp;'2.Données'!B11)</f>
        <v>38</v>
      </c>
      <c r="J11" s="20"/>
    </row>
    <row r="12" spans="1:39" x14ac:dyDescent="0.45">
      <c r="B12" s="22">
        <v>10</v>
      </c>
      <c r="C12" s="21">
        <v>0</v>
      </c>
      <c r="E12" s="24">
        <f>COUNTIF(Tableau1[[#All],[BUS (Manuel)]],"="&amp;'2.Données'!B12)</f>
        <v>0</v>
      </c>
      <c r="J12" s="20"/>
    </row>
    <row r="13" spans="1:39" x14ac:dyDescent="0.45">
      <c r="F13" s="20"/>
      <c r="J13" s="20"/>
    </row>
    <row r="14" spans="1:39" x14ac:dyDescent="0.45">
      <c r="F14" s="20"/>
      <c r="J14" s="20"/>
    </row>
    <row r="15" spans="1:39" x14ac:dyDescent="0.45">
      <c r="A15" s="25" t="s">
        <v>0</v>
      </c>
      <c r="B15" s="22">
        <v>6</v>
      </c>
      <c r="C15" s="24">
        <v>7</v>
      </c>
      <c r="D15" s="22">
        <v>8</v>
      </c>
      <c r="E15" s="24">
        <v>9</v>
      </c>
      <c r="F15" s="22">
        <v>10</v>
      </c>
      <c r="G15" s="24">
        <v>11</v>
      </c>
      <c r="H15" s="22">
        <v>12</v>
      </c>
      <c r="I15" s="24">
        <v>13</v>
      </c>
      <c r="J15" s="22">
        <v>14</v>
      </c>
      <c r="K15" s="24">
        <v>15</v>
      </c>
      <c r="L15" s="22">
        <v>16</v>
      </c>
      <c r="M15" s="24">
        <v>17</v>
      </c>
      <c r="N15" s="22">
        <v>18</v>
      </c>
      <c r="O15" s="24">
        <v>19</v>
      </c>
      <c r="P15" s="22">
        <v>20</v>
      </c>
      <c r="Q15" s="24">
        <v>21</v>
      </c>
      <c r="R15" s="22">
        <v>22</v>
      </c>
      <c r="S15" s="24">
        <v>23</v>
      </c>
      <c r="T15" s="22">
        <v>24</v>
      </c>
      <c r="U15" s="24">
        <v>25</v>
      </c>
      <c r="V15" s="22">
        <v>26</v>
      </c>
      <c r="W15" s="24">
        <v>27</v>
      </c>
      <c r="X15" s="22">
        <v>28</v>
      </c>
      <c r="Y15" s="24">
        <v>29</v>
      </c>
      <c r="Z15" s="22">
        <v>30</v>
      </c>
      <c r="AA15" s="24">
        <v>31</v>
      </c>
      <c r="AB15" s="22">
        <v>32</v>
      </c>
      <c r="AC15" s="24">
        <v>33</v>
      </c>
      <c r="AD15" s="22">
        <v>34</v>
      </c>
      <c r="AE15" s="24">
        <v>35</v>
      </c>
      <c r="AF15" s="22">
        <v>36</v>
      </c>
      <c r="AG15" s="24">
        <v>37</v>
      </c>
      <c r="AH15" s="22">
        <v>38</v>
      </c>
      <c r="AI15" s="24">
        <v>39</v>
      </c>
      <c r="AJ15" s="22">
        <v>40</v>
      </c>
      <c r="AK15" s="24">
        <v>41</v>
      </c>
      <c r="AL15" s="22">
        <v>42</v>
      </c>
      <c r="AM15" s="24">
        <v>43</v>
      </c>
    </row>
    <row r="16" spans="1:39" x14ac:dyDescent="0.45">
      <c r="A16" s="25" t="s">
        <v>10</v>
      </c>
      <c r="B16" s="26" t="s">
        <v>1602</v>
      </c>
      <c r="C16" s="26" t="s">
        <v>1603</v>
      </c>
      <c r="D16" s="26" t="s">
        <v>1604</v>
      </c>
      <c r="E16" s="26" t="s">
        <v>1605</v>
      </c>
      <c r="F16" s="26" t="s">
        <v>1606</v>
      </c>
      <c r="G16" s="26" t="s">
        <v>1607</v>
      </c>
      <c r="H16" s="26" t="s">
        <v>1608</v>
      </c>
      <c r="I16" s="26" t="s">
        <v>1609</v>
      </c>
      <c r="J16" s="26" t="s">
        <v>1610</v>
      </c>
      <c r="K16" s="26" t="s">
        <v>1611</v>
      </c>
      <c r="L16" s="26" t="s">
        <v>1612</v>
      </c>
      <c r="M16" s="26" t="s">
        <v>1613</v>
      </c>
      <c r="N16" s="26" t="s">
        <v>1614</v>
      </c>
      <c r="O16" s="26" t="s">
        <v>1615</v>
      </c>
      <c r="P16" s="26" t="s">
        <v>1616</v>
      </c>
      <c r="Q16" s="26" t="s">
        <v>1617</v>
      </c>
      <c r="R16" s="26" t="s">
        <v>1618</v>
      </c>
      <c r="S16" s="26" t="s">
        <v>1619</v>
      </c>
      <c r="T16" s="26" t="s">
        <v>1620</v>
      </c>
      <c r="U16" s="26" t="s">
        <v>1621</v>
      </c>
      <c r="V16" s="26" t="s">
        <v>1622</v>
      </c>
      <c r="W16" s="26" t="s">
        <v>1623</v>
      </c>
      <c r="X16" s="26" t="s">
        <v>1624</v>
      </c>
      <c r="Y16" s="26" t="s">
        <v>1625</v>
      </c>
      <c r="Z16" s="26" t="s">
        <v>1626</v>
      </c>
      <c r="AA16" s="26" t="s">
        <v>1627</v>
      </c>
      <c r="AB16" s="26" t="s">
        <v>1628</v>
      </c>
      <c r="AC16" s="26" t="s">
        <v>1629</v>
      </c>
      <c r="AD16" s="26" t="s">
        <v>1630</v>
      </c>
      <c r="AE16" s="26" t="s">
        <v>1631</v>
      </c>
      <c r="AF16" s="26" t="s">
        <v>1632</v>
      </c>
      <c r="AG16" s="26" t="s">
        <v>1633</v>
      </c>
      <c r="AH16" s="26" t="s">
        <v>1634</v>
      </c>
      <c r="AI16" s="26" t="s">
        <v>1635</v>
      </c>
      <c r="AJ16" s="26" t="s">
        <v>1636</v>
      </c>
      <c r="AK16" s="26" t="s">
        <v>1637</v>
      </c>
      <c r="AL16" s="26" t="s">
        <v>1638</v>
      </c>
      <c r="AM16" s="26" t="s">
        <v>1639</v>
      </c>
    </row>
    <row r="17" spans="1:39" x14ac:dyDescent="0.45">
      <c r="A17" s="25" t="s">
        <v>36</v>
      </c>
      <c r="B17" s="24">
        <f>COUNTIF('1.Export'!$H$1:$H$543,"="&amp;B15)</f>
        <v>8</v>
      </c>
      <c r="C17" s="24">
        <f>COUNTIF('1.Export'!$H$1:$H$543,"="&amp;C15)</f>
        <v>15</v>
      </c>
      <c r="D17" s="24">
        <f>COUNTIF('1.Export'!$H$1:$H$543,"="&amp;D15)</f>
        <v>13</v>
      </c>
      <c r="E17" s="24">
        <f>COUNTIF('1.Export'!$H$1:$H$543,"="&amp;E15)</f>
        <v>10</v>
      </c>
      <c r="F17" s="24">
        <f>COUNTIF('1.Export'!$H$1:$H$543,"="&amp;F15)</f>
        <v>15</v>
      </c>
      <c r="G17" s="24">
        <f>COUNTIF('1.Export'!$H$1:$H$543,"="&amp;G15)</f>
        <v>17</v>
      </c>
      <c r="H17" s="24">
        <f>COUNTIF('1.Export'!$H$1:$H$543,"="&amp;H15)</f>
        <v>16</v>
      </c>
      <c r="I17" s="24">
        <f>COUNTIF('1.Export'!$H$1:$H$543,"="&amp;I15)</f>
        <v>15</v>
      </c>
      <c r="J17" s="24">
        <f>COUNTIF('1.Export'!$H$1:$H$543,"="&amp;J15)</f>
        <v>18</v>
      </c>
      <c r="K17" s="24">
        <f>COUNTIF('1.Export'!$H$1:$H$543,"="&amp;K15)</f>
        <v>14</v>
      </c>
      <c r="L17" s="24">
        <f>COUNTIF('1.Export'!$H$1:$H$543,"="&amp;L15)</f>
        <v>13</v>
      </c>
      <c r="M17" s="24">
        <f>COUNTIF('1.Export'!$H$1:$H$543,"="&amp;M15)</f>
        <v>10</v>
      </c>
      <c r="N17" s="24">
        <f>COUNTIF('1.Export'!$H$1:$H$543,"="&amp;N15)</f>
        <v>18</v>
      </c>
      <c r="O17" s="24">
        <f>COUNTIF('1.Export'!$H$1:$H$543,"="&amp;O15)</f>
        <v>17</v>
      </c>
      <c r="P17" s="24">
        <f>COUNTIF('1.Export'!$H$1:$H$543,"="&amp;P15)</f>
        <v>17</v>
      </c>
      <c r="Q17" s="24">
        <f>COUNTIF('1.Export'!$H$1:$H$543,"="&amp;Q15)</f>
        <v>14</v>
      </c>
      <c r="R17" s="24">
        <f>COUNTIF('1.Export'!$H$1:$H$543,"="&amp;R15)</f>
        <v>13</v>
      </c>
      <c r="S17" s="24">
        <f>COUNTIF('1.Export'!$H$1:$H$543,"="&amp;S15)</f>
        <v>11</v>
      </c>
      <c r="T17" s="24">
        <f>COUNTIF('1.Export'!$H$1:$H$543,"="&amp;T15)</f>
        <v>16</v>
      </c>
      <c r="U17" s="24">
        <f>COUNTIF('1.Export'!$H$1:$H$543,"="&amp;U15)</f>
        <v>13</v>
      </c>
      <c r="V17" s="24">
        <f>COUNTIF('1.Export'!$H$1:$H$543,"="&amp;V15)</f>
        <v>16</v>
      </c>
      <c r="W17" s="24">
        <f>COUNTIF('1.Export'!$H$1:$H$543,"="&amp;W15)</f>
        <v>17</v>
      </c>
      <c r="X17" s="24">
        <f>COUNTIF('1.Export'!$H$1:$H$543,"="&amp;X15)</f>
        <v>16</v>
      </c>
      <c r="Y17" s="24">
        <f>COUNTIF('1.Export'!$H$1:$H$543,"="&amp;Y15)</f>
        <v>16</v>
      </c>
      <c r="Z17" s="24">
        <f>COUNTIF('1.Export'!$H$1:$H$543,"="&amp;Z15)</f>
        <v>16</v>
      </c>
      <c r="AA17" s="24">
        <f>COUNTIF('1.Export'!$H$1:$H$543,"="&amp;AA15)</f>
        <v>15</v>
      </c>
      <c r="AB17" s="24">
        <f>COUNTIF('1.Export'!$H$1:$H$543,"="&amp;AB15)</f>
        <v>11</v>
      </c>
      <c r="AC17" s="24">
        <f>COUNTIF('1.Export'!$H$1:$H$543,"="&amp;AC15)</f>
        <v>14</v>
      </c>
      <c r="AD17" s="24">
        <f>COUNTIF('1.Export'!$H$1:$H$543,"="&amp;AD15)</f>
        <v>8</v>
      </c>
      <c r="AE17" s="24">
        <f>COUNTIF('1.Export'!$H$1:$H$543,"="&amp;AE15)</f>
        <v>8</v>
      </c>
      <c r="AF17" s="24">
        <f>COUNTIF('1.Export'!$H$1:$H$543,"="&amp;AF15)</f>
        <v>8</v>
      </c>
      <c r="AG17" s="24">
        <f>COUNTIF('1.Export'!$H$1:$H$543,"="&amp;AG15)</f>
        <v>13</v>
      </c>
      <c r="AH17" s="24">
        <f>COUNTIF('1.Export'!$H$1:$H$543,"="&amp;AH15)</f>
        <v>8</v>
      </c>
      <c r="AI17" s="24">
        <f>COUNTIF('1.Export'!$H$1:$H$543,"="&amp;AI15)</f>
        <v>7</v>
      </c>
      <c r="AJ17" s="24">
        <f>COUNTIF('1.Export'!$H$1:$H$543,"="&amp;AJ15)</f>
        <v>6</v>
      </c>
      <c r="AK17" s="24">
        <f>COUNTIF('1.Export'!$H$1:$H$543,"="&amp;AK15)</f>
        <v>8</v>
      </c>
      <c r="AL17" s="24">
        <f>COUNTIF('1.Export'!$H$1:$H$543,"="&amp;AL15)</f>
        <v>10</v>
      </c>
      <c r="AM17" s="24">
        <f>COUNTIF('1.Export'!$H$1:$H$543,"="&amp;AM15)</f>
        <v>6</v>
      </c>
    </row>
    <row r="18" spans="1:39" x14ac:dyDescent="0.45">
      <c r="A18" s="25" t="s">
        <v>35</v>
      </c>
      <c r="B18" s="24">
        <f>B17-COUNTIFS('1.Export'!$H$1:$H$543,"="&amp;B15,'1.Export'!$G$1:$G$543,"=0")</f>
        <v>4</v>
      </c>
      <c r="C18" s="24">
        <f>C17-COUNTIFS('1.Export'!$H$1:$H$543,"="&amp;C15,'1.Export'!$G$1:$G$543,"=0")</f>
        <v>4</v>
      </c>
      <c r="D18" s="24">
        <f>D17-COUNTIFS('1.Export'!$H$1:$H$543,"="&amp;D15,'1.Export'!$G$1:$G$543,"=0")</f>
        <v>5</v>
      </c>
      <c r="E18" s="24">
        <f>E17-COUNTIFS('1.Export'!$H$1:$H$543,"="&amp;E15,'1.Export'!$G$1:$G$543,"=0")</f>
        <v>3</v>
      </c>
      <c r="F18" s="24">
        <f>F17-COUNTIFS('1.Export'!$H$1:$H$543,"="&amp;F15,'1.Export'!$G$1:$G$543,"=0")</f>
        <v>2</v>
      </c>
      <c r="G18" s="24">
        <f>G17-COUNTIFS('1.Export'!$H$1:$H$543,"="&amp;G15,'1.Export'!$G$1:$G$543,"=0")</f>
        <v>5</v>
      </c>
      <c r="H18" s="24">
        <f>H17-COUNTIFS('1.Export'!$H$1:$H$543,"="&amp;H15,'1.Export'!$G$1:$G$543,"=0")</f>
        <v>3</v>
      </c>
      <c r="I18" s="24">
        <f>I17-COUNTIFS('1.Export'!$H$1:$H$543,"="&amp;I15,'1.Export'!$G$1:$G$543,"=0")</f>
        <v>5</v>
      </c>
      <c r="J18" s="24">
        <f>J17-COUNTIFS('1.Export'!$H$1:$H$543,"="&amp;J15,'1.Export'!$G$1:$G$543,"=0")</f>
        <v>5</v>
      </c>
      <c r="K18" s="24">
        <f>K17-COUNTIFS('1.Export'!$H$1:$H$543,"="&amp;K15,'1.Export'!$G$1:$G$543,"=0")</f>
        <v>4</v>
      </c>
      <c r="L18" s="24">
        <f>L17-COUNTIFS('1.Export'!$H$1:$H$543,"="&amp;L15,'1.Export'!$G$1:$G$543,"=0")</f>
        <v>5</v>
      </c>
      <c r="M18" s="24">
        <f>M17-COUNTIFS('1.Export'!$H$1:$H$543,"="&amp;M15,'1.Export'!$G$1:$G$543,"=0")</f>
        <v>0</v>
      </c>
      <c r="N18" s="24">
        <f>N17-COUNTIFS('1.Export'!$H$1:$H$543,"="&amp;N15,'1.Export'!$G$1:$G$543,"=0")</f>
        <v>5</v>
      </c>
      <c r="O18" s="24">
        <f>O17-COUNTIFS('1.Export'!$H$1:$H$543,"="&amp;O15,'1.Export'!$G$1:$G$543,"=0")</f>
        <v>5</v>
      </c>
      <c r="P18" s="24">
        <f>P17-COUNTIFS('1.Export'!$H$1:$H$543,"="&amp;P15,'1.Export'!$G$1:$G$543,"=0")</f>
        <v>4</v>
      </c>
      <c r="Q18" s="24">
        <f>Q17-COUNTIFS('1.Export'!$H$1:$H$543,"="&amp;Q15,'1.Export'!$G$1:$G$543,"=0")</f>
        <v>4</v>
      </c>
      <c r="R18" s="24">
        <f>R17-COUNTIFS('1.Export'!$H$1:$H$543,"="&amp;R15,'1.Export'!$G$1:$G$543,"=0")</f>
        <v>5</v>
      </c>
      <c r="S18" s="24">
        <f>S17-COUNTIFS('1.Export'!$H$1:$H$543,"="&amp;S15,'1.Export'!$G$1:$G$543,"=0")</f>
        <v>2</v>
      </c>
      <c r="T18" s="24">
        <f>T17-COUNTIFS('1.Export'!$H$1:$H$543,"="&amp;T15,'1.Export'!$G$1:$G$543,"=0")</f>
        <v>5</v>
      </c>
      <c r="U18" s="24">
        <f>U17-COUNTIFS('1.Export'!$H$1:$H$543,"="&amp;U15,'1.Export'!$G$1:$G$543,"=0")</f>
        <v>5</v>
      </c>
      <c r="V18" s="24">
        <f>V17-COUNTIFS('1.Export'!$H$1:$H$543,"="&amp;V15,'1.Export'!$G$1:$G$543,"=0")</f>
        <v>4</v>
      </c>
      <c r="W18" s="24">
        <f>W17-COUNTIFS('1.Export'!$H$1:$H$543,"="&amp;W15,'1.Export'!$G$1:$G$543,"=0")</f>
        <v>4</v>
      </c>
      <c r="X18" s="24">
        <f>X17-COUNTIFS('1.Export'!$H$1:$H$543,"="&amp;X15,'1.Export'!$G$1:$G$543,"=0")</f>
        <v>2</v>
      </c>
      <c r="Y18" s="24">
        <f>Y17-COUNTIFS('1.Export'!$H$1:$H$543,"="&amp;Y15,'1.Export'!$G$1:$G$543,"=0")</f>
        <v>5</v>
      </c>
      <c r="Z18" s="24">
        <f>Z17-COUNTIFS('1.Export'!$H$1:$H$543,"="&amp;Z15,'1.Export'!$G$1:$G$543,"=0")</f>
        <v>3</v>
      </c>
      <c r="AA18" s="24">
        <f>AA17-COUNTIFS('1.Export'!$H$1:$H$543,"="&amp;AA15,'1.Export'!$G$1:$G$543,"=0")</f>
        <v>3</v>
      </c>
      <c r="AB18" s="24">
        <f>AB17-COUNTIFS('1.Export'!$H$1:$H$543,"="&amp;AB15,'1.Export'!$G$1:$G$543,"=0")</f>
        <v>4</v>
      </c>
      <c r="AC18" s="24">
        <f>AC17-COUNTIFS('1.Export'!$H$1:$H$543,"="&amp;AC15,'1.Export'!$G$1:$G$543,"=0")</f>
        <v>5</v>
      </c>
      <c r="AD18" s="24">
        <f>AD17-COUNTIFS('1.Export'!$H$1:$H$543,"="&amp;AD15,'1.Export'!$G$1:$G$543,"=0")</f>
        <v>4</v>
      </c>
      <c r="AE18" s="24">
        <f>AE17-COUNTIFS('1.Export'!$H$1:$H$543,"="&amp;AE15,'1.Export'!$G$1:$G$543,"=0")</f>
        <v>5</v>
      </c>
      <c r="AF18" s="24">
        <f>AF17-COUNTIFS('1.Export'!$H$1:$H$543,"="&amp;AF15,'1.Export'!$G$1:$G$543,"=0")</f>
        <v>4</v>
      </c>
      <c r="AG18" s="24">
        <f>AG17-COUNTIFS('1.Export'!$H$1:$H$543,"="&amp;AG15,'1.Export'!$G$1:$G$543,"=0")</f>
        <v>5</v>
      </c>
      <c r="AH18" s="24">
        <f>AH17-COUNTIFS('1.Export'!$H$1:$H$543,"="&amp;AH15,'1.Export'!$G$1:$G$543,"=0")</f>
        <v>5</v>
      </c>
      <c r="AI18" s="24">
        <f>AI17-COUNTIFS('1.Export'!$H$1:$H$543,"="&amp;AI15,'1.Export'!$G$1:$G$543,"=0")</f>
        <v>1</v>
      </c>
      <c r="AJ18" s="24">
        <f>AJ17-COUNTIFS('1.Export'!$H$1:$H$543,"="&amp;AJ15,'1.Export'!$G$1:$G$543,"=0")</f>
        <v>2</v>
      </c>
      <c r="AK18" s="24">
        <f>AK17-COUNTIFS('1.Export'!$H$1:$H$543,"="&amp;AK15,'1.Export'!$G$1:$G$543,"=0")</f>
        <v>4</v>
      </c>
      <c r="AL18" s="24">
        <f>AL17-COUNTIFS('1.Export'!$H$1:$H$543,"="&amp;AL15,'1.Export'!$G$1:$G$543,"=0")</f>
        <v>4</v>
      </c>
      <c r="AM18" s="24">
        <f>AM17-COUNTIFS('1.Export'!$H$1:$H$543,"="&amp;AM15,'1.Export'!$G$1:$G$543,"=0")</f>
        <v>2</v>
      </c>
    </row>
    <row r="19" spans="1:39" x14ac:dyDescent="0.45">
      <c r="A19" s="25" t="s">
        <v>37</v>
      </c>
      <c r="B19" s="27">
        <v>1</v>
      </c>
      <c r="C19" s="27">
        <v>1</v>
      </c>
      <c r="D19" s="27">
        <v>1</v>
      </c>
      <c r="E19" s="27">
        <v>1</v>
      </c>
      <c r="F19" s="27">
        <v>1</v>
      </c>
      <c r="G19" s="27">
        <v>1</v>
      </c>
      <c r="H19" s="27">
        <v>-1</v>
      </c>
      <c r="I19" s="27">
        <v>1</v>
      </c>
      <c r="J19" s="27">
        <v>-1</v>
      </c>
      <c r="K19" s="27">
        <v>-1</v>
      </c>
      <c r="L19" s="27">
        <v>-1</v>
      </c>
      <c r="M19" s="27">
        <v>1</v>
      </c>
      <c r="N19" s="27">
        <v>1</v>
      </c>
      <c r="O19" s="27">
        <v>-1</v>
      </c>
      <c r="P19" s="27">
        <v>-1</v>
      </c>
      <c r="Q19" s="27">
        <v>-1</v>
      </c>
      <c r="R19" s="27">
        <v>-1</v>
      </c>
      <c r="S19" s="27">
        <v>-1</v>
      </c>
      <c r="T19" s="27">
        <v>-1</v>
      </c>
      <c r="U19" s="27">
        <v>-1</v>
      </c>
      <c r="V19" s="27">
        <v>-1</v>
      </c>
      <c r="W19" s="27">
        <v>1</v>
      </c>
      <c r="X19" s="27">
        <v>1</v>
      </c>
      <c r="Y19" s="27">
        <v>1</v>
      </c>
      <c r="Z19" s="27">
        <v>1</v>
      </c>
      <c r="AA19" s="27">
        <v>1</v>
      </c>
      <c r="AB19" s="27">
        <v>-1</v>
      </c>
      <c r="AC19" s="27">
        <v>-1</v>
      </c>
      <c r="AD19" s="27">
        <v>-1</v>
      </c>
      <c r="AE19" s="27">
        <v>-1</v>
      </c>
      <c r="AF19" s="27">
        <v>-1</v>
      </c>
      <c r="AG19" s="27">
        <v>1</v>
      </c>
      <c r="AH19" s="27">
        <v>1</v>
      </c>
      <c r="AI19" s="27">
        <v>1</v>
      </c>
      <c r="AJ19" s="27">
        <v>-1</v>
      </c>
      <c r="AK19" s="27">
        <v>-1</v>
      </c>
      <c r="AL19" s="27">
        <v>1</v>
      </c>
      <c r="AM19" s="27">
        <v>1</v>
      </c>
    </row>
    <row r="20" spans="1:39" x14ac:dyDescent="0.45">
      <c r="A20" s="25" t="s">
        <v>1193</v>
      </c>
      <c r="B20" s="24">
        <f>B17-COUNTIFS('1.Export'!$H$1:$H$543,"="&amp;B15,'1.Export'!$K$1:$K$543,"=1")</f>
        <v>0</v>
      </c>
      <c r="C20" s="24">
        <f>C17-COUNTIFS('1.Export'!$H$1:$H$543,"="&amp;C15,'1.Export'!$K$1:$K$543,"=1")</f>
        <v>3</v>
      </c>
      <c r="D20" s="24">
        <f>D17-COUNTIFS('1.Export'!$H$1:$H$543,"="&amp;D15,'1.Export'!$K$1:$K$543,"=1")</f>
        <v>0</v>
      </c>
      <c r="E20" s="24">
        <f>E17-COUNTIFS('1.Export'!$H$1:$H$543,"="&amp;E15,'1.Export'!$K$1:$K$543,"=1")</f>
        <v>0</v>
      </c>
      <c r="F20" s="24">
        <f>F17-COUNTIFS('1.Export'!$H$1:$H$543,"="&amp;F15,'1.Export'!$K$1:$K$543,"=1")</f>
        <v>4</v>
      </c>
      <c r="G20" s="24">
        <f>G17-COUNTIFS('1.Export'!$H$1:$H$543,"="&amp;G15,'1.Export'!$K$1:$K$543,"=1")</f>
        <v>5</v>
      </c>
      <c r="H20" s="24">
        <f>H17-COUNTIFS('1.Export'!$H$1:$H$543,"="&amp;H15,'1.Export'!$K$1:$K$543,"=1")</f>
        <v>4</v>
      </c>
      <c r="I20" s="24">
        <f>I17-COUNTIFS('1.Export'!$H$1:$H$543,"="&amp;I15,'1.Export'!$K$1:$K$543,"=1")</f>
        <v>0</v>
      </c>
      <c r="J20" s="24">
        <f>J17-COUNTIFS('1.Export'!$H$1:$H$543,"="&amp;J15,'1.Export'!$K$1:$K$543,"=1")</f>
        <v>0</v>
      </c>
      <c r="K20" s="24">
        <f>K17-COUNTIFS('1.Export'!$H$1:$H$543,"="&amp;K15,'1.Export'!$K$1:$K$543,"=1")</f>
        <v>0</v>
      </c>
      <c r="L20" s="24">
        <f>L17-COUNTIFS('1.Export'!$H$1:$H$543,"="&amp;L15,'1.Export'!$K$1:$K$543,"=1")</f>
        <v>4</v>
      </c>
      <c r="M20" s="24">
        <f>M17-COUNTIFS('1.Export'!$H$1:$H$543,"="&amp;M15,'1.Export'!$K$1:$K$543,"=1")</f>
        <v>2</v>
      </c>
      <c r="N20" s="24">
        <f>N17-COUNTIFS('1.Export'!$H$1:$H$543,"="&amp;N15,'1.Export'!$K$1:$K$543,"=1")</f>
        <v>5</v>
      </c>
      <c r="O20" s="24">
        <f>O17-COUNTIFS('1.Export'!$H$1:$H$543,"="&amp;O15,'1.Export'!$K$1:$K$543,"=1")</f>
        <v>5</v>
      </c>
      <c r="P20" s="24">
        <f>P17-COUNTIFS('1.Export'!$H$1:$H$543,"="&amp;P15,'1.Export'!$K$1:$K$543,"=1")</f>
        <v>6</v>
      </c>
      <c r="Q20" s="24">
        <f>Q17-COUNTIFS('1.Export'!$H$1:$H$543,"="&amp;Q15,'1.Export'!$K$1:$K$543,"=1")</f>
        <v>2</v>
      </c>
      <c r="R20" s="24">
        <f>R17-COUNTIFS('1.Export'!$H$1:$H$543,"="&amp;R15,'1.Export'!$K$1:$K$543,"=1")</f>
        <v>4</v>
      </c>
      <c r="S20" s="24">
        <f>S17-COUNTIFS('1.Export'!$H$1:$H$543,"="&amp;S15,'1.Export'!$K$1:$K$543,"=1")</f>
        <v>3</v>
      </c>
      <c r="T20" s="24">
        <f>T17-COUNTIFS('1.Export'!$H$1:$H$543,"="&amp;T15,'1.Export'!$K$1:$K$543,"=1")</f>
        <v>2</v>
      </c>
      <c r="U20" s="24">
        <f>U17-COUNTIFS('1.Export'!$H$1:$H$543,"="&amp;U15,'1.Export'!$K$1:$K$543,"=1")</f>
        <v>2</v>
      </c>
      <c r="V20" s="24">
        <f>V17-COUNTIFS('1.Export'!$H$1:$H$543,"="&amp;V15,'1.Export'!$K$1:$K$543,"=1")</f>
        <v>5</v>
      </c>
      <c r="W20" s="24">
        <f>W17-COUNTIFS('1.Export'!$H$1:$H$543,"="&amp;W15,'1.Export'!$K$1:$K$543,"=1")</f>
        <v>3</v>
      </c>
      <c r="X20" s="24">
        <f>X17-COUNTIFS('1.Export'!$H$1:$H$543,"="&amp;X15,'1.Export'!$K$1:$K$543,"=1")</f>
        <v>4</v>
      </c>
      <c r="Y20" s="24">
        <f>Y17-COUNTIFS('1.Export'!$H$1:$H$543,"="&amp;Y15,'1.Export'!$K$1:$K$543,"=1")</f>
        <v>3</v>
      </c>
      <c r="Z20" s="24">
        <f>Z17-COUNTIFS('1.Export'!$H$1:$H$543,"="&amp;Z15,'1.Export'!$K$1:$K$543,"=1")</f>
        <v>4</v>
      </c>
      <c r="AA20" s="24">
        <f>AA17-COUNTIFS('1.Export'!$H$1:$H$543,"="&amp;AA15,'1.Export'!$K$1:$K$543,"=1")</f>
        <v>3</v>
      </c>
      <c r="AB20" s="24">
        <f>AB17-COUNTIFS('1.Export'!$H$1:$H$543,"="&amp;AB15,'1.Export'!$K$1:$K$543,"=1")</f>
        <v>0</v>
      </c>
      <c r="AC20" s="24">
        <f>AC17-COUNTIFS('1.Export'!$H$1:$H$543,"="&amp;AC15,'1.Export'!$K$1:$K$543,"=1")</f>
        <v>0</v>
      </c>
      <c r="AD20" s="24">
        <f>AD17-COUNTIFS('1.Export'!$H$1:$H$543,"="&amp;AD15,'1.Export'!$K$1:$K$543,"=1")</f>
        <v>0</v>
      </c>
      <c r="AE20" s="24">
        <f>AE17-COUNTIFS('1.Export'!$H$1:$H$543,"="&amp;AE15,'1.Export'!$K$1:$K$543,"=1")</f>
        <v>0</v>
      </c>
      <c r="AF20" s="24">
        <f>AF17-COUNTIFS('1.Export'!$H$1:$H$543,"="&amp;AF15,'1.Export'!$K$1:$K$543,"=1")</f>
        <v>0</v>
      </c>
      <c r="AG20" s="24">
        <f>AG17-COUNTIFS('1.Export'!$H$1:$H$543,"="&amp;AG15,'1.Export'!$K$1:$K$543,"=1")</f>
        <v>0</v>
      </c>
      <c r="AH20" s="24">
        <f>AH17-COUNTIFS('1.Export'!$H$1:$H$543,"="&amp;AH15,'1.Export'!$K$1:$K$543,"=1")</f>
        <v>0</v>
      </c>
      <c r="AI20" s="24">
        <f>AI17-COUNTIFS('1.Export'!$H$1:$H$543,"="&amp;AI15,'1.Export'!$K$1:$K$543,"=1")</f>
        <v>0</v>
      </c>
      <c r="AJ20" s="24">
        <f>AJ17-COUNTIFS('1.Export'!$H$1:$H$543,"="&amp;AJ15,'1.Export'!$K$1:$K$543,"=1")</f>
        <v>0</v>
      </c>
      <c r="AK20" s="24">
        <f>AK17-COUNTIFS('1.Export'!$H$1:$H$543,"="&amp;AK15,'1.Export'!$K$1:$K$543,"=1")</f>
        <v>0</v>
      </c>
      <c r="AL20" s="24">
        <f>AL17-COUNTIFS('1.Export'!$H$1:$H$543,"="&amp;AL15,'1.Export'!$K$1:$K$543,"=1")</f>
        <v>0</v>
      </c>
      <c r="AM20" s="24">
        <f>AM17-COUNTIFS('1.Export'!$H$1:$H$543,"="&amp;AM15,'1.Export'!$K$1:$K$543,"=1")</f>
        <v>0</v>
      </c>
    </row>
    <row r="21" spans="1:39" x14ac:dyDescent="0.45">
      <c r="B21" s="20"/>
    </row>
    <row r="25" spans="1:39" x14ac:dyDescent="0.45">
      <c r="A25" s="20"/>
    </row>
  </sheetData>
  <mergeCells count="1">
    <mergeCell ref="B2:C2"/>
  </mergeCells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293C0-55BF-4A30-87A6-D84D3490B045}">
  <sheetPr codeName="Feuil5"/>
  <dimension ref="A1:AR35"/>
  <sheetViews>
    <sheetView zoomScale="85" zoomScaleNormal="85" workbookViewId="0">
      <selection activeCell="J1" sqref="J1"/>
    </sheetView>
  </sheetViews>
  <sheetFormatPr defaultColWidth="11.59765625" defaultRowHeight="14.25" x14ac:dyDescent="0.45"/>
  <cols>
    <col min="1" max="1" width="12.59765625" style="2" customWidth="1"/>
    <col min="2" max="2" width="18" style="2" customWidth="1"/>
    <col min="3" max="3" width="11.59765625" style="2"/>
    <col min="4" max="4" width="1" style="2" customWidth="1"/>
    <col min="5" max="41" width="11.59765625" style="2"/>
    <col min="42" max="44" width="11.59765625" style="2" customWidth="1"/>
    <col min="45" max="16384" width="11.59765625" style="2"/>
  </cols>
  <sheetData>
    <row r="1" spans="1:44" x14ac:dyDescent="0.45">
      <c r="I1" s="2">
        <f>I2+5</f>
        <v>6</v>
      </c>
      <c r="J1" s="2">
        <f t="shared" ref="J1:AP1" si="0">J2+5</f>
        <v>7</v>
      </c>
      <c r="K1" s="2">
        <f t="shared" si="0"/>
        <v>8</v>
      </c>
      <c r="L1" s="2">
        <f t="shared" si="0"/>
        <v>9</v>
      </c>
      <c r="M1" s="2">
        <f t="shared" si="0"/>
        <v>10</v>
      </c>
      <c r="N1" s="2">
        <f t="shared" si="0"/>
        <v>11</v>
      </c>
      <c r="O1" s="2">
        <f t="shared" si="0"/>
        <v>12</v>
      </c>
      <c r="P1" s="2">
        <f t="shared" si="0"/>
        <v>13</v>
      </c>
      <c r="Q1" s="2">
        <f t="shared" si="0"/>
        <v>14</v>
      </c>
      <c r="R1" s="2">
        <f t="shared" si="0"/>
        <v>15</v>
      </c>
      <c r="S1" s="2">
        <f t="shared" si="0"/>
        <v>16</v>
      </c>
      <c r="T1" s="2">
        <f t="shared" si="0"/>
        <v>17</v>
      </c>
      <c r="U1" s="2">
        <f t="shared" si="0"/>
        <v>18</v>
      </c>
      <c r="V1" s="2">
        <f t="shared" si="0"/>
        <v>19</v>
      </c>
      <c r="W1" s="2">
        <f t="shared" si="0"/>
        <v>20</v>
      </c>
      <c r="X1" s="2">
        <f t="shared" si="0"/>
        <v>21</v>
      </c>
      <c r="Y1" s="2">
        <f t="shared" si="0"/>
        <v>22</v>
      </c>
      <c r="Z1" s="2">
        <f t="shared" si="0"/>
        <v>23</v>
      </c>
      <c r="AA1" s="2">
        <f t="shared" si="0"/>
        <v>24</v>
      </c>
      <c r="AB1" s="2">
        <f t="shared" si="0"/>
        <v>25</v>
      </c>
      <c r="AC1" s="2">
        <f t="shared" si="0"/>
        <v>26</v>
      </c>
      <c r="AD1" s="2">
        <f t="shared" si="0"/>
        <v>27</v>
      </c>
      <c r="AE1" s="2">
        <f t="shared" si="0"/>
        <v>28</v>
      </c>
      <c r="AF1" s="2">
        <f t="shared" si="0"/>
        <v>29</v>
      </c>
      <c r="AG1" s="2">
        <f t="shared" si="0"/>
        <v>30</v>
      </c>
      <c r="AH1" s="2">
        <f t="shared" si="0"/>
        <v>31</v>
      </c>
      <c r="AI1" s="2">
        <f t="shared" si="0"/>
        <v>32</v>
      </c>
      <c r="AJ1" s="2">
        <f t="shared" si="0"/>
        <v>33</v>
      </c>
      <c r="AK1" s="2">
        <f t="shared" si="0"/>
        <v>34</v>
      </c>
      <c r="AL1" s="2">
        <f t="shared" si="0"/>
        <v>35</v>
      </c>
      <c r="AM1" s="2">
        <f t="shared" si="0"/>
        <v>36</v>
      </c>
      <c r="AN1" s="2">
        <f t="shared" si="0"/>
        <v>37</v>
      </c>
      <c r="AO1" s="2">
        <f t="shared" si="0"/>
        <v>38</v>
      </c>
      <c r="AP1" s="2">
        <f t="shared" si="0"/>
        <v>39</v>
      </c>
    </row>
    <row r="2" spans="1:44" x14ac:dyDescent="0.45">
      <c r="H2" s="3" t="s">
        <v>0</v>
      </c>
      <c r="I2" s="4">
        <v>1</v>
      </c>
      <c r="J2" s="4">
        <v>2</v>
      </c>
      <c r="K2" s="4">
        <v>3</v>
      </c>
      <c r="L2" s="4">
        <v>4</v>
      </c>
      <c r="M2" s="4">
        <v>5</v>
      </c>
      <c r="N2" s="4">
        <v>6</v>
      </c>
      <c r="O2" s="4">
        <v>7</v>
      </c>
      <c r="P2" s="4">
        <v>8</v>
      </c>
      <c r="Q2" s="4">
        <v>9</v>
      </c>
      <c r="R2" s="4">
        <v>10</v>
      </c>
      <c r="S2" s="4">
        <v>11</v>
      </c>
      <c r="T2" s="4">
        <v>12</v>
      </c>
      <c r="U2" s="4">
        <v>13</v>
      </c>
      <c r="V2" s="4">
        <v>14</v>
      </c>
      <c r="W2" s="4">
        <v>15</v>
      </c>
      <c r="X2" s="4">
        <v>16</v>
      </c>
      <c r="Y2" s="4">
        <v>17</v>
      </c>
      <c r="Z2" s="4">
        <v>18</v>
      </c>
      <c r="AA2" s="4">
        <v>19</v>
      </c>
      <c r="AB2" s="4">
        <v>20</v>
      </c>
      <c r="AC2" s="4">
        <v>21</v>
      </c>
      <c r="AD2" s="4">
        <v>22</v>
      </c>
      <c r="AE2" s="4">
        <v>23</v>
      </c>
      <c r="AF2" s="4">
        <v>24</v>
      </c>
      <c r="AG2" s="4">
        <v>25</v>
      </c>
      <c r="AH2" s="4">
        <v>26</v>
      </c>
      <c r="AI2" s="4">
        <v>27</v>
      </c>
      <c r="AJ2" s="4">
        <v>28</v>
      </c>
      <c r="AK2" s="4">
        <v>29</v>
      </c>
      <c r="AL2" s="4">
        <v>30</v>
      </c>
      <c r="AM2" s="4">
        <v>31</v>
      </c>
      <c r="AN2" s="4">
        <v>32</v>
      </c>
      <c r="AO2" s="4">
        <v>33</v>
      </c>
      <c r="AP2" s="4">
        <v>34</v>
      </c>
    </row>
    <row r="3" spans="1:44" x14ac:dyDescent="0.45">
      <c r="H3" s="3" t="s">
        <v>4</v>
      </c>
      <c r="I3" s="4">
        <f>'2.Données'!B17</f>
        <v>8</v>
      </c>
      <c r="J3" s="4">
        <f>'2.Données'!C17</f>
        <v>15</v>
      </c>
      <c r="K3" s="4">
        <f>'2.Données'!D17</f>
        <v>13</v>
      </c>
      <c r="L3" s="4">
        <f>'2.Données'!E17</f>
        <v>10</v>
      </c>
      <c r="M3" s="4">
        <f>'2.Données'!F17</f>
        <v>15</v>
      </c>
      <c r="N3" s="4">
        <f>'2.Données'!G17</f>
        <v>17</v>
      </c>
      <c r="O3" s="4">
        <f>'2.Données'!H17</f>
        <v>16</v>
      </c>
      <c r="P3" s="4">
        <f>'2.Données'!I17</f>
        <v>15</v>
      </c>
      <c r="Q3" s="4">
        <f>'2.Données'!J17</f>
        <v>18</v>
      </c>
      <c r="R3" s="4">
        <f>'2.Données'!K17</f>
        <v>14</v>
      </c>
      <c r="S3" s="4">
        <f>'2.Données'!L17</f>
        <v>13</v>
      </c>
      <c r="T3" s="4">
        <f>'2.Données'!M17</f>
        <v>10</v>
      </c>
      <c r="U3" s="4">
        <f>'2.Données'!N17</f>
        <v>18</v>
      </c>
      <c r="V3" s="4">
        <f>'2.Données'!O17</f>
        <v>17</v>
      </c>
      <c r="W3" s="4">
        <f>'2.Données'!P17</f>
        <v>17</v>
      </c>
      <c r="X3" s="4">
        <f>'2.Données'!Q17</f>
        <v>14</v>
      </c>
      <c r="Y3" s="4">
        <f>'2.Données'!R17</f>
        <v>13</v>
      </c>
      <c r="Z3" s="4">
        <f>'2.Données'!S17</f>
        <v>11</v>
      </c>
      <c r="AA3" s="4">
        <f>'2.Données'!T17</f>
        <v>16</v>
      </c>
      <c r="AB3" s="4">
        <f>'2.Données'!U17</f>
        <v>13</v>
      </c>
      <c r="AC3" s="4">
        <f>'2.Données'!V17</f>
        <v>16</v>
      </c>
      <c r="AD3" s="4">
        <f>'2.Données'!W17</f>
        <v>17</v>
      </c>
      <c r="AE3" s="4">
        <f>'2.Données'!X17</f>
        <v>16</v>
      </c>
      <c r="AF3" s="4">
        <f>'2.Données'!Y17</f>
        <v>16</v>
      </c>
      <c r="AG3" s="4">
        <f>'2.Données'!Z17</f>
        <v>16</v>
      </c>
      <c r="AH3" s="4">
        <f>'2.Données'!AA17</f>
        <v>15</v>
      </c>
      <c r="AI3" s="4">
        <f>'2.Données'!AB17</f>
        <v>11</v>
      </c>
      <c r="AJ3" s="4">
        <f>'2.Données'!AC17</f>
        <v>14</v>
      </c>
      <c r="AK3" s="4">
        <f>'2.Données'!AD17</f>
        <v>8</v>
      </c>
      <c r="AL3" s="4">
        <f>'2.Données'!AE17</f>
        <v>8</v>
      </c>
      <c r="AM3" s="4">
        <f>'2.Données'!AF17</f>
        <v>8</v>
      </c>
      <c r="AN3" s="4">
        <f>'2.Données'!AG17</f>
        <v>13</v>
      </c>
      <c r="AO3" s="4">
        <f>'2.Données'!AH17</f>
        <v>8</v>
      </c>
      <c r="AP3" s="4">
        <f>'2.Données'!AI17</f>
        <v>7</v>
      </c>
    </row>
    <row r="4" spans="1:44" x14ac:dyDescent="0.45">
      <c r="H4" s="3" t="s">
        <v>5</v>
      </c>
      <c r="I4" s="4">
        <f>'2.Données'!B18</f>
        <v>4</v>
      </c>
      <c r="J4" s="4">
        <f>'2.Données'!C18</f>
        <v>4</v>
      </c>
      <c r="K4" s="4">
        <f>'2.Données'!D18</f>
        <v>5</v>
      </c>
      <c r="L4" s="4">
        <f>'2.Données'!E18</f>
        <v>3</v>
      </c>
      <c r="M4" s="4">
        <f>'2.Données'!F18</f>
        <v>2</v>
      </c>
      <c r="N4" s="4">
        <f>'2.Données'!G18</f>
        <v>5</v>
      </c>
      <c r="O4" s="4">
        <f>'2.Données'!H18</f>
        <v>3</v>
      </c>
      <c r="P4" s="4">
        <f>'2.Données'!I18</f>
        <v>5</v>
      </c>
      <c r="Q4" s="4">
        <f>'2.Données'!J18</f>
        <v>5</v>
      </c>
      <c r="R4" s="4">
        <f>'2.Données'!K18</f>
        <v>4</v>
      </c>
      <c r="S4" s="4">
        <f>'2.Données'!L18</f>
        <v>5</v>
      </c>
      <c r="T4" s="4">
        <f>'2.Données'!M18</f>
        <v>0</v>
      </c>
      <c r="U4" s="4">
        <f>'2.Données'!N18</f>
        <v>5</v>
      </c>
      <c r="V4" s="4">
        <f>'2.Données'!O18</f>
        <v>5</v>
      </c>
      <c r="W4" s="4">
        <f>'2.Données'!P18</f>
        <v>4</v>
      </c>
      <c r="X4" s="4">
        <f>'2.Données'!Q18</f>
        <v>4</v>
      </c>
      <c r="Y4" s="4">
        <f>'2.Données'!R18</f>
        <v>5</v>
      </c>
      <c r="Z4" s="4">
        <f>'2.Données'!S18</f>
        <v>2</v>
      </c>
      <c r="AA4" s="4">
        <f>'2.Données'!T18</f>
        <v>5</v>
      </c>
      <c r="AB4" s="4">
        <f>'2.Données'!U18</f>
        <v>5</v>
      </c>
      <c r="AC4" s="4">
        <f>'2.Données'!V18</f>
        <v>4</v>
      </c>
      <c r="AD4" s="4">
        <f>'2.Données'!W18</f>
        <v>4</v>
      </c>
      <c r="AE4" s="4">
        <f>'2.Données'!X18</f>
        <v>2</v>
      </c>
      <c r="AF4" s="4">
        <f>'2.Données'!Y18</f>
        <v>5</v>
      </c>
      <c r="AG4" s="4">
        <f>'2.Données'!Z18</f>
        <v>3</v>
      </c>
      <c r="AH4" s="4">
        <f>'2.Données'!AA18</f>
        <v>3</v>
      </c>
      <c r="AI4" s="4">
        <f>'2.Données'!AB18</f>
        <v>4</v>
      </c>
      <c r="AJ4" s="4">
        <f>'2.Données'!AC18</f>
        <v>5</v>
      </c>
      <c r="AK4" s="4">
        <f>'2.Données'!AD18</f>
        <v>4</v>
      </c>
      <c r="AL4" s="4">
        <f>'2.Données'!AE18</f>
        <v>5</v>
      </c>
      <c r="AM4" s="4">
        <f>'2.Données'!AF18</f>
        <v>4</v>
      </c>
      <c r="AN4" s="4">
        <f>'2.Données'!AG18</f>
        <v>5</v>
      </c>
      <c r="AO4" s="4">
        <f>'2.Données'!AH18</f>
        <v>5</v>
      </c>
      <c r="AP4" s="4">
        <f>'2.Données'!AI18</f>
        <v>1</v>
      </c>
    </row>
    <row r="5" spans="1:44" x14ac:dyDescent="0.45">
      <c r="H5" s="3" t="s">
        <v>6</v>
      </c>
      <c r="I5" s="4">
        <f>'2.Données'!B19</f>
        <v>1</v>
      </c>
      <c r="J5" s="4">
        <f>'2.Données'!C19</f>
        <v>1</v>
      </c>
      <c r="K5" s="4">
        <f>'2.Données'!D19</f>
        <v>1</v>
      </c>
      <c r="L5" s="4">
        <f>'2.Données'!E19</f>
        <v>1</v>
      </c>
      <c r="M5" s="4">
        <f>'2.Données'!F19</f>
        <v>1</v>
      </c>
      <c r="N5" s="4">
        <f>'2.Données'!G19</f>
        <v>1</v>
      </c>
      <c r="O5" s="4">
        <f>'2.Données'!H19</f>
        <v>-1</v>
      </c>
      <c r="P5" s="4">
        <f>'2.Données'!I19</f>
        <v>1</v>
      </c>
      <c r="Q5" s="4">
        <f>'2.Données'!J19</f>
        <v>-1</v>
      </c>
      <c r="R5" s="4">
        <f>'2.Données'!K19</f>
        <v>-1</v>
      </c>
      <c r="S5" s="4">
        <f>'2.Données'!L19</f>
        <v>-1</v>
      </c>
      <c r="T5" s="4">
        <f>'2.Données'!M19</f>
        <v>1</v>
      </c>
      <c r="U5" s="4">
        <f>'2.Données'!N19</f>
        <v>1</v>
      </c>
      <c r="V5" s="4">
        <f>'2.Données'!O19</f>
        <v>-1</v>
      </c>
      <c r="W5" s="4">
        <f>'2.Données'!P19</f>
        <v>-1</v>
      </c>
      <c r="X5" s="4">
        <f>'2.Données'!Q19</f>
        <v>-1</v>
      </c>
      <c r="Y5" s="4">
        <f>'2.Données'!R19</f>
        <v>-1</v>
      </c>
      <c r="Z5" s="4">
        <f>'2.Données'!S19</f>
        <v>-1</v>
      </c>
      <c r="AA5" s="4">
        <f>'2.Données'!T19</f>
        <v>-1</v>
      </c>
      <c r="AB5" s="4">
        <f>'2.Données'!U19</f>
        <v>-1</v>
      </c>
      <c r="AC5" s="4">
        <f>'2.Données'!V19</f>
        <v>-1</v>
      </c>
      <c r="AD5" s="4">
        <f>'2.Données'!W19</f>
        <v>1</v>
      </c>
      <c r="AE5" s="4">
        <f>'2.Données'!X19</f>
        <v>1</v>
      </c>
      <c r="AF5" s="4">
        <f>'2.Données'!Y19</f>
        <v>1</v>
      </c>
      <c r="AG5" s="4">
        <f>'2.Données'!Z19</f>
        <v>1</v>
      </c>
      <c r="AH5" s="4">
        <f>'2.Données'!AA19</f>
        <v>1</v>
      </c>
      <c r="AI5" s="4">
        <f>'2.Données'!AB19</f>
        <v>-1</v>
      </c>
      <c r="AJ5" s="4">
        <f>'2.Données'!AC19</f>
        <v>-1</v>
      </c>
      <c r="AK5" s="4">
        <f>'2.Données'!AD19</f>
        <v>-1</v>
      </c>
      <c r="AL5" s="4">
        <f>'2.Données'!AE19</f>
        <v>-1</v>
      </c>
      <c r="AM5" s="4">
        <f>'2.Données'!AF19</f>
        <v>-1</v>
      </c>
      <c r="AN5" s="4">
        <f>'2.Données'!AG19</f>
        <v>1</v>
      </c>
      <c r="AO5" s="4">
        <f>'2.Données'!AH19</f>
        <v>1</v>
      </c>
      <c r="AP5" s="4">
        <f>'2.Données'!AI19</f>
        <v>1</v>
      </c>
    </row>
    <row r="6" spans="1:44" x14ac:dyDescent="0.45">
      <c r="H6" s="3" t="s">
        <v>1190</v>
      </c>
      <c r="I6" s="4">
        <v>0</v>
      </c>
      <c r="J6" s="4">
        <v>3</v>
      </c>
      <c r="K6" s="4">
        <v>0</v>
      </c>
      <c r="L6" s="4">
        <v>0</v>
      </c>
      <c r="M6" s="4">
        <v>4</v>
      </c>
      <c r="N6" s="4">
        <v>5</v>
      </c>
      <c r="O6" s="4">
        <v>4</v>
      </c>
      <c r="P6" s="4">
        <v>0</v>
      </c>
      <c r="Q6" s="4">
        <v>0</v>
      </c>
      <c r="R6" s="4">
        <v>0</v>
      </c>
      <c r="S6" s="4">
        <v>4</v>
      </c>
      <c r="T6" s="4">
        <v>2</v>
      </c>
      <c r="U6" s="4">
        <v>5</v>
      </c>
      <c r="V6" s="4">
        <v>5</v>
      </c>
      <c r="W6" s="4">
        <v>6</v>
      </c>
      <c r="X6" s="4">
        <v>2</v>
      </c>
      <c r="Y6" s="4">
        <v>4</v>
      </c>
      <c r="Z6" s="4">
        <v>3</v>
      </c>
      <c r="AA6" s="4">
        <v>2</v>
      </c>
      <c r="AB6" s="4">
        <v>2</v>
      </c>
      <c r="AC6" s="4">
        <v>5</v>
      </c>
      <c r="AD6" s="4">
        <v>3</v>
      </c>
      <c r="AE6" s="4">
        <v>4</v>
      </c>
      <c r="AF6" s="4">
        <v>3</v>
      </c>
      <c r="AG6" s="4">
        <v>4</v>
      </c>
      <c r="AH6" s="4">
        <v>3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</row>
    <row r="8" spans="1:44" x14ac:dyDescent="0.45">
      <c r="A8" s="3" t="s">
        <v>3</v>
      </c>
      <c r="B8" s="3" t="s">
        <v>2</v>
      </c>
      <c r="C8" s="3" t="s">
        <v>1189</v>
      </c>
      <c r="E8" s="7" t="s">
        <v>1196</v>
      </c>
      <c r="F8" s="7" t="s">
        <v>1197</v>
      </c>
      <c r="G8" s="7" t="s">
        <v>1198</v>
      </c>
      <c r="H8" s="7" t="s">
        <v>1199</v>
      </c>
      <c r="AR8" s="5" t="s">
        <v>3</v>
      </c>
    </row>
    <row r="9" spans="1:44" x14ac:dyDescent="0.45">
      <c r="A9" s="4">
        <v>1</v>
      </c>
      <c r="B9" s="4">
        <f>'2.Données'!C3</f>
        <v>70</v>
      </c>
      <c r="C9" s="4">
        <f>'2.Données'!E3</f>
        <v>29</v>
      </c>
      <c r="E9" s="8">
        <f t="shared" ref="E9:E17" si="1">SUMPRODUCT(I9:AP9,I$3:AP$3)+C9</f>
        <v>70</v>
      </c>
      <c r="F9" s="8">
        <f t="shared" ref="F9:F17" si="2">SUMPRODUCT(I9:AP9,I$5:AP$5)</f>
        <v>1</v>
      </c>
      <c r="G9" s="8">
        <f t="shared" ref="G9:G17" si="3">SUMPRODUCT(I9:AP9,I$6:AP$6)</f>
        <v>7</v>
      </c>
      <c r="H9" s="8">
        <f t="shared" ref="H9:H17" si="4">SUMPRODUCT(I9:AP9,I$4:AP$4)</f>
        <v>10</v>
      </c>
      <c r="I9" s="6">
        <v>0</v>
      </c>
      <c r="J9" s="6">
        <v>1</v>
      </c>
      <c r="K9" s="6">
        <v>0</v>
      </c>
      <c r="L9" s="6">
        <v>1</v>
      </c>
      <c r="M9" s="6">
        <v>0</v>
      </c>
      <c r="N9" s="6">
        <v>0</v>
      </c>
      <c r="O9" s="6">
        <v>1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R9" s="2">
        <v>1</v>
      </c>
    </row>
    <row r="10" spans="1:44" x14ac:dyDescent="0.45">
      <c r="A10" s="4">
        <v>2</v>
      </c>
      <c r="B10" s="4">
        <f>'2.Données'!C4</f>
        <v>70</v>
      </c>
      <c r="C10" s="4">
        <f>'2.Données'!E4</f>
        <v>3</v>
      </c>
      <c r="E10" s="8">
        <f t="shared" si="1"/>
        <v>62</v>
      </c>
      <c r="F10" s="8">
        <f t="shared" si="2"/>
        <v>0</v>
      </c>
      <c r="G10" s="8">
        <f t="shared" si="3"/>
        <v>9</v>
      </c>
      <c r="H10" s="8">
        <f t="shared" si="4"/>
        <v>15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  <c r="N10" s="6">
        <v>0</v>
      </c>
      <c r="O10" s="6">
        <v>0</v>
      </c>
      <c r="P10" s="6">
        <v>0</v>
      </c>
      <c r="Q10" s="6">
        <v>0</v>
      </c>
      <c r="R10" s="6">
        <v>1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1</v>
      </c>
      <c r="AC10" s="6">
        <v>0</v>
      </c>
      <c r="AD10" s="6">
        <v>1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R10" s="2">
        <v>2</v>
      </c>
    </row>
    <row r="11" spans="1:44" x14ac:dyDescent="0.45">
      <c r="A11" s="4">
        <v>3</v>
      </c>
      <c r="B11" s="4">
        <f>'2.Données'!C5</f>
        <v>70</v>
      </c>
      <c r="C11" s="4">
        <f>'2.Données'!E5</f>
        <v>3</v>
      </c>
      <c r="E11" s="8">
        <f t="shared" si="1"/>
        <v>67</v>
      </c>
      <c r="F11" s="8">
        <f t="shared" si="2"/>
        <v>-2</v>
      </c>
      <c r="G11" s="8">
        <f t="shared" si="3"/>
        <v>9</v>
      </c>
      <c r="H11" s="8">
        <f t="shared" si="4"/>
        <v>18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1</v>
      </c>
      <c r="U11" s="6">
        <v>0</v>
      </c>
      <c r="V11" s="6">
        <v>1</v>
      </c>
      <c r="W11" s="6">
        <v>0</v>
      </c>
      <c r="X11" s="6">
        <v>1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1</v>
      </c>
      <c r="AL11" s="6">
        <v>0</v>
      </c>
      <c r="AM11" s="6">
        <v>1</v>
      </c>
      <c r="AN11" s="6">
        <v>0</v>
      </c>
      <c r="AO11" s="6">
        <v>0</v>
      </c>
      <c r="AP11" s="6">
        <v>1</v>
      </c>
      <c r="AR11" s="2">
        <v>3</v>
      </c>
    </row>
    <row r="12" spans="1:44" x14ac:dyDescent="0.45">
      <c r="A12" s="4">
        <v>4</v>
      </c>
      <c r="B12" s="4">
        <f>'2.Données'!C6</f>
        <v>63</v>
      </c>
      <c r="C12" s="4">
        <f>'2.Données'!E6</f>
        <v>4</v>
      </c>
      <c r="E12" s="8">
        <f t="shared" si="1"/>
        <v>60</v>
      </c>
      <c r="F12" s="8">
        <f t="shared" si="2"/>
        <v>2</v>
      </c>
      <c r="G12" s="8">
        <f t="shared" si="3"/>
        <v>10</v>
      </c>
      <c r="H12" s="8">
        <f t="shared" si="4"/>
        <v>19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1</v>
      </c>
      <c r="O12" s="6">
        <v>0</v>
      </c>
      <c r="P12" s="6">
        <v>1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1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1</v>
      </c>
      <c r="AP12" s="6">
        <v>0</v>
      </c>
      <c r="AR12" s="2">
        <v>4</v>
      </c>
    </row>
    <row r="13" spans="1:44" x14ac:dyDescent="0.45">
      <c r="A13" s="4">
        <v>5</v>
      </c>
      <c r="B13" s="4">
        <f>'2.Données'!C7</f>
        <v>59</v>
      </c>
      <c r="C13" s="4">
        <f>'2.Données'!E7</f>
        <v>2</v>
      </c>
      <c r="E13" s="8">
        <f t="shared" si="1"/>
        <v>55</v>
      </c>
      <c r="F13" s="8">
        <f t="shared" si="2"/>
        <v>0</v>
      </c>
      <c r="G13" s="8">
        <f t="shared" si="3"/>
        <v>10</v>
      </c>
      <c r="H13" s="8">
        <f t="shared" si="4"/>
        <v>17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1</v>
      </c>
      <c r="Z13" s="6">
        <v>1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1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1</v>
      </c>
      <c r="AO13" s="6">
        <v>0</v>
      </c>
      <c r="AP13" s="6">
        <v>0</v>
      </c>
      <c r="AR13" s="2">
        <v>5</v>
      </c>
    </row>
    <row r="14" spans="1:44" x14ac:dyDescent="0.45">
      <c r="A14" s="4">
        <v>6</v>
      </c>
      <c r="B14" s="4">
        <f>'2.Données'!C8</f>
        <v>59</v>
      </c>
      <c r="C14" s="4">
        <f>'2.Données'!E8</f>
        <v>4</v>
      </c>
      <c r="E14" s="8">
        <f t="shared" si="1"/>
        <v>59</v>
      </c>
      <c r="F14" s="8">
        <f t="shared" si="2"/>
        <v>-2</v>
      </c>
      <c r="G14" s="8">
        <f t="shared" si="3"/>
        <v>9</v>
      </c>
      <c r="H14" s="8">
        <f t="shared" si="4"/>
        <v>17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1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1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1</v>
      </c>
      <c r="AI14" s="6">
        <v>1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R14" s="2">
        <v>6</v>
      </c>
    </row>
    <row r="15" spans="1:44" x14ac:dyDescent="0.45">
      <c r="A15" s="4">
        <v>7</v>
      </c>
      <c r="B15" s="4">
        <f>'2.Données'!C9</f>
        <v>57</v>
      </c>
      <c r="C15" s="4">
        <f>'2.Données'!E9</f>
        <v>1</v>
      </c>
      <c r="E15" s="8">
        <f t="shared" si="1"/>
        <v>53</v>
      </c>
      <c r="F15" s="8">
        <f t="shared" si="2"/>
        <v>1</v>
      </c>
      <c r="G15" s="8">
        <f t="shared" si="3"/>
        <v>9</v>
      </c>
      <c r="H15" s="8">
        <f t="shared" si="4"/>
        <v>12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1</v>
      </c>
      <c r="R15" s="6">
        <v>0</v>
      </c>
      <c r="S15" s="6">
        <v>0</v>
      </c>
      <c r="T15" s="6">
        <v>0</v>
      </c>
      <c r="U15" s="6">
        <v>1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1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R15" s="2">
        <v>7</v>
      </c>
    </row>
    <row r="16" spans="1:44" x14ac:dyDescent="0.45">
      <c r="A16" s="4">
        <v>8</v>
      </c>
      <c r="B16" s="4">
        <f>'2.Données'!C10</f>
        <v>61</v>
      </c>
      <c r="C16" s="4">
        <f>'2.Données'!E10</f>
        <v>1</v>
      </c>
      <c r="E16" s="8">
        <f t="shared" si="1"/>
        <v>61</v>
      </c>
      <c r="F16" s="8">
        <f t="shared" si="2"/>
        <v>0</v>
      </c>
      <c r="G16" s="8">
        <f t="shared" si="3"/>
        <v>10</v>
      </c>
      <c r="H16" s="8">
        <f t="shared" si="4"/>
        <v>17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1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1</v>
      </c>
      <c r="AH16" s="6">
        <v>0</v>
      </c>
      <c r="AI16" s="6">
        <v>0</v>
      </c>
      <c r="AJ16" s="6">
        <v>1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R16" s="2">
        <v>8</v>
      </c>
    </row>
    <row r="17" spans="1:44" x14ac:dyDescent="0.45">
      <c r="A17" s="4">
        <v>9</v>
      </c>
      <c r="B17" s="4">
        <f>'2.Données'!C11</f>
        <v>55</v>
      </c>
      <c r="C17" s="4">
        <f>'2.Données'!E11</f>
        <v>38</v>
      </c>
      <c r="E17" s="8">
        <f t="shared" si="1"/>
        <v>54</v>
      </c>
      <c r="F17" s="8">
        <f t="shared" si="2"/>
        <v>0</v>
      </c>
      <c r="G17" s="8">
        <f t="shared" si="3"/>
        <v>0</v>
      </c>
      <c r="H17" s="8">
        <f t="shared" si="4"/>
        <v>9</v>
      </c>
      <c r="I17" s="6">
        <v>1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1</v>
      </c>
      <c r="AM17" s="6">
        <v>0</v>
      </c>
      <c r="AN17" s="6">
        <v>0</v>
      </c>
      <c r="AO17" s="6">
        <v>0</v>
      </c>
      <c r="AP17" s="6">
        <v>0</v>
      </c>
      <c r="AR17" s="2">
        <v>9</v>
      </c>
    </row>
    <row r="18" spans="1:44" x14ac:dyDescent="0.45">
      <c r="A18" s="4">
        <v>10</v>
      </c>
      <c r="B18" s="4">
        <f>'2.Données'!C12</f>
        <v>0</v>
      </c>
      <c r="C18" s="4">
        <f>'2.Données'!E12</f>
        <v>0</v>
      </c>
      <c r="E18" s="8">
        <f t="shared" ref="E18" si="5">SUMPRODUCT(I18:AP18,I$3:AP$3)+C18</f>
        <v>0</v>
      </c>
      <c r="F18" s="8">
        <f t="shared" ref="F18" si="6">SUMPRODUCT(I18:AP18,I$5:AP$5)</f>
        <v>0</v>
      </c>
      <c r="G18" s="8">
        <f t="shared" ref="G18" si="7">SUMPRODUCT(I18:AP18,I$6:AP$6)</f>
        <v>0</v>
      </c>
      <c r="H18" s="8">
        <f t="shared" ref="H18" si="8">SUMPRODUCT(I18:AP18,I$4:AP$4)</f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R18" s="2">
        <v>10</v>
      </c>
    </row>
    <row r="20" spans="1:44" x14ac:dyDescent="0.45">
      <c r="F20" s="2">
        <v>0</v>
      </c>
      <c r="H20" s="7" t="s">
        <v>7</v>
      </c>
      <c r="I20" s="8">
        <f>SUM(I9:I18)</f>
        <v>1</v>
      </c>
      <c r="J20" s="8">
        <f t="shared" ref="J20:M20" si="9">SUM(J9:J18)</f>
        <v>1</v>
      </c>
      <c r="K20" s="8">
        <f t="shared" si="9"/>
        <v>1</v>
      </c>
      <c r="L20" s="8">
        <f t="shared" si="9"/>
        <v>1</v>
      </c>
      <c r="M20" s="8">
        <f t="shared" si="9"/>
        <v>1</v>
      </c>
      <c r="N20" s="8">
        <f t="shared" ref="N20:AP20" si="10">SUM(N9:N18)</f>
        <v>1</v>
      </c>
      <c r="O20" s="8">
        <f t="shared" si="10"/>
        <v>1</v>
      </c>
      <c r="P20" s="8">
        <f t="shared" si="10"/>
        <v>1</v>
      </c>
      <c r="Q20" s="8">
        <f t="shared" si="10"/>
        <v>1</v>
      </c>
      <c r="R20" s="8">
        <f t="shared" si="10"/>
        <v>1</v>
      </c>
      <c r="S20" s="8">
        <f t="shared" si="10"/>
        <v>1</v>
      </c>
      <c r="T20" s="8">
        <f t="shared" si="10"/>
        <v>1</v>
      </c>
      <c r="U20" s="8">
        <f t="shared" si="10"/>
        <v>1</v>
      </c>
      <c r="V20" s="8">
        <f t="shared" si="10"/>
        <v>1</v>
      </c>
      <c r="W20" s="8">
        <f t="shared" si="10"/>
        <v>1</v>
      </c>
      <c r="X20" s="8">
        <f t="shared" si="10"/>
        <v>1</v>
      </c>
      <c r="Y20" s="8">
        <f t="shared" si="10"/>
        <v>1</v>
      </c>
      <c r="Z20" s="8">
        <f>SUM(Z9:Z18)</f>
        <v>1</v>
      </c>
      <c r="AA20" s="8">
        <f>SUM(AA9:AA18)</f>
        <v>1</v>
      </c>
      <c r="AB20" s="8">
        <f t="shared" si="10"/>
        <v>1</v>
      </c>
      <c r="AC20" s="8">
        <f t="shared" si="10"/>
        <v>1</v>
      </c>
      <c r="AD20" s="8">
        <f t="shared" si="10"/>
        <v>1</v>
      </c>
      <c r="AE20" s="8">
        <f t="shared" si="10"/>
        <v>1</v>
      </c>
      <c r="AF20" s="8">
        <f t="shared" si="10"/>
        <v>1</v>
      </c>
      <c r="AG20" s="8">
        <f t="shared" si="10"/>
        <v>1</v>
      </c>
      <c r="AH20" s="8">
        <f t="shared" si="10"/>
        <v>1</v>
      </c>
      <c r="AI20" s="8">
        <f t="shared" si="10"/>
        <v>1</v>
      </c>
      <c r="AJ20" s="8">
        <f t="shared" si="10"/>
        <v>1</v>
      </c>
      <c r="AK20" s="8">
        <f t="shared" si="10"/>
        <v>1</v>
      </c>
      <c r="AL20" s="8">
        <f t="shared" si="10"/>
        <v>1</v>
      </c>
      <c r="AM20" s="8">
        <f t="shared" si="10"/>
        <v>1</v>
      </c>
      <c r="AN20" s="8">
        <f t="shared" si="10"/>
        <v>1</v>
      </c>
      <c r="AO20" s="8">
        <f t="shared" si="10"/>
        <v>1</v>
      </c>
      <c r="AP20" s="8">
        <f t="shared" si="10"/>
        <v>1</v>
      </c>
    </row>
    <row r="22" spans="1:44" x14ac:dyDescent="0.45">
      <c r="H22" s="5" t="s">
        <v>1</v>
      </c>
      <c r="I22" s="2">
        <f>SUMPRODUCT(I9:I18,$A9:$A18)</f>
        <v>9</v>
      </c>
      <c r="J22" s="2">
        <f t="shared" ref="J22:AP22" si="11">SUMPRODUCT(J9:J18,$A9:$A18)</f>
        <v>1</v>
      </c>
      <c r="K22" s="2">
        <f t="shared" si="11"/>
        <v>8</v>
      </c>
      <c r="L22" s="2">
        <f t="shared" si="11"/>
        <v>1</v>
      </c>
      <c r="M22" s="2">
        <f t="shared" si="11"/>
        <v>2</v>
      </c>
      <c r="N22" s="2">
        <f t="shared" si="11"/>
        <v>4</v>
      </c>
      <c r="O22" s="2">
        <f t="shared" si="11"/>
        <v>1</v>
      </c>
      <c r="P22" s="2">
        <f t="shared" si="11"/>
        <v>4</v>
      </c>
      <c r="Q22" s="2">
        <f t="shared" si="11"/>
        <v>7</v>
      </c>
      <c r="R22" s="2">
        <f t="shared" si="11"/>
        <v>2</v>
      </c>
      <c r="S22" s="2">
        <f t="shared" si="11"/>
        <v>6</v>
      </c>
      <c r="T22" s="2">
        <f t="shared" si="11"/>
        <v>3</v>
      </c>
      <c r="U22" s="2">
        <f t="shared" si="11"/>
        <v>7</v>
      </c>
      <c r="V22" s="2">
        <f t="shared" si="11"/>
        <v>3</v>
      </c>
      <c r="W22" s="2">
        <f t="shared" si="11"/>
        <v>8</v>
      </c>
      <c r="X22" s="2">
        <f t="shared" si="11"/>
        <v>3</v>
      </c>
      <c r="Y22" s="2">
        <f t="shared" si="11"/>
        <v>5</v>
      </c>
      <c r="Z22" s="2">
        <f t="shared" si="11"/>
        <v>5</v>
      </c>
      <c r="AA22" s="2">
        <f t="shared" si="11"/>
        <v>6</v>
      </c>
      <c r="AB22" s="2">
        <f t="shared" si="11"/>
        <v>2</v>
      </c>
      <c r="AC22" s="2">
        <f t="shared" si="11"/>
        <v>4</v>
      </c>
      <c r="AD22" s="2">
        <f t="shared" si="11"/>
        <v>2</v>
      </c>
      <c r="AE22" s="2">
        <f t="shared" si="11"/>
        <v>7</v>
      </c>
      <c r="AF22" s="2">
        <f t="shared" si="11"/>
        <v>5</v>
      </c>
      <c r="AG22" s="2">
        <f t="shared" si="11"/>
        <v>8</v>
      </c>
      <c r="AH22" s="2">
        <f t="shared" si="11"/>
        <v>6</v>
      </c>
      <c r="AI22" s="2">
        <f t="shared" si="11"/>
        <v>6</v>
      </c>
      <c r="AJ22" s="2">
        <f t="shared" si="11"/>
        <v>8</v>
      </c>
      <c r="AK22" s="2">
        <f t="shared" si="11"/>
        <v>3</v>
      </c>
      <c r="AL22" s="2">
        <f t="shared" si="11"/>
        <v>9</v>
      </c>
      <c r="AM22" s="2">
        <f t="shared" si="11"/>
        <v>3</v>
      </c>
      <c r="AN22" s="2">
        <f t="shared" si="11"/>
        <v>5</v>
      </c>
      <c r="AO22" s="2">
        <f t="shared" si="11"/>
        <v>4</v>
      </c>
      <c r="AP22" s="2">
        <f t="shared" si="11"/>
        <v>3</v>
      </c>
    </row>
    <row r="23" spans="1:44" x14ac:dyDescent="0.45">
      <c r="A23" s="5"/>
      <c r="B23" s="5"/>
      <c r="C23" s="5"/>
    </row>
    <row r="24" spans="1:44" x14ac:dyDescent="0.45">
      <c r="B24" s="5"/>
      <c r="C24" s="5"/>
    </row>
    <row r="25" spans="1:44" x14ac:dyDescent="0.45">
      <c r="C25" s="5"/>
    </row>
    <row r="26" spans="1:44" x14ac:dyDescent="0.45">
      <c r="A26" s="4">
        <v>1</v>
      </c>
      <c r="B26" s="2" t="s">
        <v>1200</v>
      </c>
      <c r="C26" s="5"/>
      <c r="F26" s="5"/>
      <c r="G26" s="5"/>
    </row>
    <row r="27" spans="1:44" x14ac:dyDescent="0.45">
      <c r="A27" s="4">
        <v>2</v>
      </c>
      <c r="B27" s="2" t="s">
        <v>1201</v>
      </c>
      <c r="C27" s="5"/>
    </row>
    <row r="28" spans="1:44" x14ac:dyDescent="0.45">
      <c r="A28" s="4">
        <v>3</v>
      </c>
      <c r="B28" s="2" t="s">
        <v>1202</v>
      </c>
      <c r="C28" s="5"/>
    </row>
    <row r="29" spans="1:44" x14ac:dyDescent="0.45">
      <c r="A29" s="4">
        <v>4</v>
      </c>
      <c r="B29" s="2" t="s">
        <v>1203</v>
      </c>
      <c r="C29" s="5"/>
    </row>
    <row r="30" spans="1:44" x14ac:dyDescent="0.45">
      <c r="A30" s="4">
        <v>5</v>
      </c>
      <c r="B30" s="2" t="s">
        <v>1204</v>
      </c>
      <c r="C30" s="5"/>
    </row>
    <row r="31" spans="1:44" x14ac:dyDescent="0.45">
      <c r="A31" s="4">
        <v>6</v>
      </c>
      <c r="B31" s="2" t="s">
        <v>1205</v>
      </c>
      <c r="C31" s="5"/>
    </row>
    <row r="32" spans="1:44" x14ac:dyDescent="0.45">
      <c r="A32" s="4">
        <v>7</v>
      </c>
      <c r="B32" s="2" t="s">
        <v>1206</v>
      </c>
      <c r="C32" s="5"/>
    </row>
    <row r="33" spans="1:3" x14ac:dyDescent="0.45">
      <c r="A33" s="4">
        <v>8</v>
      </c>
      <c r="B33" s="2" t="s">
        <v>1207</v>
      </c>
      <c r="C33" s="5"/>
    </row>
    <row r="34" spans="1:3" x14ac:dyDescent="0.45">
      <c r="A34" s="4">
        <v>9</v>
      </c>
      <c r="B34" s="2" t="s">
        <v>1208</v>
      </c>
      <c r="C34" s="5"/>
    </row>
    <row r="35" spans="1:3" ht="28.5" x14ac:dyDescent="0.45">
      <c r="A35" s="33" t="s">
        <v>1194</v>
      </c>
      <c r="B35" s="2">
        <f>SUM(B9:B18)-SUM(E9:E18)</f>
        <v>23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046CD-AAE6-4A1E-819B-6CC89FC2A9B0}">
  <sheetPr codeName="Feuil1"/>
  <dimension ref="A7:J17"/>
  <sheetViews>
    <sheetView tabSelected="1" topLeftCell="A6" workbookViewId="0">
      <selection activeCell="C9" sqref="C9"/>
    </sheetView>
  </sheetViews>
  <sheetFormatPr defaultColWidth="10.6640625" defaultRowHeight="14.25" x14ac:dyDescent="0.45"/>
  <cols>
    <col min="3" max="3" width="17.59765625" customWidth="1"/>
    <col min="4" max="4" width="30.3984375" customWidth="1"/>
    <col min="5" max="5" width="28.3984375" customWidth="1"/>
    <col min="6" max="6" width="19.73046875" customWidth="1"/>
    <col min="7" max="7" width="20.265625" customWidth="1"/>
    <col min="8" max="8" width="29.3984375" customWidth="1"/>
    <col min="9" max="9" width="21" customWidth="1"/>
  </cols>
  <sheetData>
    <row r="7" spans="1:10" x14ac:dyDescent="0.45">
      <c r="A7" t="s">
        <v>1167</v>
      </c>
      <c r="B7" s="10" t="s">
        <v>1</v>
      </c>
      <c r="C7" s="10" t="s">
        <v>24</v>
      </c>
      <c r="D7" s="10" t="s">
        <v>25</v>
      </c>
      <c r="E7" s="36" t="s">
        <v>26</v>
      </c>
      <c r="F7" s="36"/>
      <c r="G7" s="36"/>
      <c r="H7" s="36"/>
      <c r="I7" s="36"/>
    </row>
    <row r="8" spans="1:10" x14ac:dyDescent="0.45">
      <c r="A8" t="s">
        <v>1168</v>
      </c>
      <c r="B8" s="11">
        <v>1</v>
      </c>
      <c r="C8" s="16" t="str">
        <f>_xlfn.XLOOKUP(B8,
Tableau1[BUS (Manuel)],Tableau1[Prénom],,0,1)</f>
        <v>Maurice</v>
      </c>
      <c r="D8" s="11">
        <f>COUNTIFS('1.Export'!L$1:L$543,"="&amp;'4.Synthèse'!B8)</f>
        <v>29</v>
      </c>
      <c r="E8" t="s">
        <v>1603</v>
      </c>
      <c r="F8" t="s">
        <v>1605</v>
      </c>
      <c r="G8" t="s">
        <v>1608</v>
      </c>
    </row>
    <row r="9" spans="1:10" x14ac:dyDescent="0.45">
      <c r="A9" t="s">
        <v>1169</v>
      </c>
      <c r="B9" s="11">
        <v>2</v>
      </c>
      <c r="C9" s="16" t="s">
        <v>1179</v>
      </c>
      <c r="D9" s="11">
        <f>COUNTIFS('1.Export'!L$1:L$543,"="&amp;'4.Synthèse'!B9)</f>
        <v>3</v>
      </c>
      <c r="E9" t="s">
        <v>1606</v>
      </c>
      <c r="F9" t="s">
        <v>1611</v>
      </c>
      <c r="G9" t="s">
        <v>1621</v>
      </c>
      <c r="H9" t="s">
        <v>1623</v>
      </c>
    </row>
    <row r="10" spans="1:10" x14ac:dyDescent="0.45">
      <c r="A10" t="s">
        <v>1170</v>
      </c>
      <c r="B10" s="11">
        <v>3</v>
      </c>
      <c r="C10" s="16" t="s">
        <v>1181</v>
      </c>
      <c r="D10" s="11">
        <f>COUNTIFS('1.Export'!L$1:L$543,"="&amp;'4.Synthèse'!B10)</f>
        <v>3</v>
      </c>
      <c r="E10" t="s">
        <v>1613</v>
      </c>
      <c r="F10" t="s">
        <v>1615</v>
      </c>
      <c r="G10" t="s">
        <v>1617</v>
      </c>
      <c r="H10" t="s">
        <v>1630</v>
      </c>
      <c r="I10" t="s">
        <v>1632</v>
      </c>
      <c r="J10" t="s">
        <v>1635</v>
      </c>
    </row>
    <row r="11" spans="1:10" x14ac:dyDescent="0.45">
      <c r="A11" t="s">
        <v>1171</v>
      </c>
      <c r="B11" s="11">
        <v>4</v>
      </c>
      <c r="C11" s="16" t="s">
        <v>1180</v>
      </c>
      <c r="D11" s="11">
        <f>COUNTIFS('1.Export'!L$1:L$543,"="&amp;'4.Synthèse'!B11)</f>
        <v>4</v>
      </c>
      <c r="E11" t="s">
        <v>1607</v>
      </c>
      <c r="F11" t="s">
        <v>1609</v>
      </c>
      <c r="G11" t="s">
        <v>1622</v>
      </c>
      <c r="H11" t="s">
        <v>1634</v>
      </c>
    </row>
    <row r="12" spans="1:10" x14ac:dyDescent="0.45">
      <c r="A12" t="s">
        <v>1172</v>
      </c>
      <c r="B12" s="11">
        <v>5</v>
      </c>
      <c r="C12" s="16" t="s">
        <v>1182</v>
      </c>
      <c r="D12" s="11">
        <f>COUNTIFS('1.Export'!L$1:L$543,"="&amp;'4.Synthèse'!B12)</f>
        <v>2</v>
      </c>
      <c r="E12" t="s">
        <v>1618</v>
      </c>
      <c r="F12" t="s">
        <v>1619</v>
      </c>
      <c r="G12" t="s">
        <v>1625</v>
      </c>
      <c r="H12" t="s">
        <v>1633</v>
      </c>
    </row>
    <row r="13" spans="1:10" x14ac:dyDescent="0.45">
      <c r="A13" t="s">
        <v>1173</v>
      </c>
      <c r="B13" s="11">
        <v>6</v>
      </c>
      <c r="C13" s="16" t="s">
        <v>1178</v>
      </c>
      <c r="D13" s="11">
        <f>COUNTIFS('1.Export'!L$1:L$543,"="&amp;'4.Synthèse'!B13)</f>
        <v>4</v>
      </c>
      <c r="E13" t="s">
        <v>1612</v>
      </c>
      <c r="F13" t="s">
        <v>1620</v>
      </c>
      <c r="G13" t="s">
        <v>1627</v>
      </c>
      <c r="H13" t="s">
        <v>1628</v>
      </c>
    </row>
    <row r="14" spans="1:10" x14ac:dyDescent="0.45">
      <c r="A14" t="s">
        <v>1174</v>
      </c>
      <c r="B14" s="11">
        <v>7</v>
      </c>
      <c r="C14" s="16" t="s">
        <v>1183</v>
      </c>
      <c r="D14" s="11">
        <f>COUNTIFS('1.Export'!L$1:L$543,"="&amp;'4.Synthèse'!B14)</f>
        <v>1</v>
      </c>
      <c r="E14" t="s">
        <v>1610</v>
      </c>
      <c r="F14" t="s">
        <v>1614</v>
      </c>
      <c r="G14" t="s">
        <v>1624</v>
      </c>
    </row>
    <row r="15" spans="1:10" x14ac:dyDescent="0.45">
      <c r="A15" t="s">
        <v>1175</v>
      </c>
      <c r="B15" s="11">
        <v>8</v>
      </c>
      <c r="C15" s="16" t="s">
        <v>1185</v>
      </c>
      <c r="D15" s="11">
        <f>COUNTIFS('1.Export'!L$1:L$543,"="&amp;'4.Synthèse'!B15)</f>
        <v>1</v>
      </c>
      <c r="E15" t="s">
        <v>1604</v>
      </c>
      <c r="F15" t="s">
        <v>1616</v>
      </c>
      <c r="G15" t="s">
        <v>1626</v>
      </c>
      <c r="H15" t="s">
        <v>1629</v>
      </c>
    </row>
    <row r="16" spans="1:10" x14ac:dyDescent="0.45">
      <c r="A16" t="s">
        <v>1176</v>
      </c>
      <c r="B16" s="11">
        <v>9</v>
      </c>
      <c r="C16" s="16" t="s">
        <v>1184</v>
      </c>
      <c r="D16" s="11">
        <f>COUNTIFS('1.Export'!L$1:L$543,"="&amp;'4.Synthèse'!B16)</f>
        <v>38</v>
      </c>
      <c r="E16" t="s">
        <v>1602</v>
      </c>
      <c r="F16" t="s">
        <v>1631</v>
      </c>
    </row>
    <row r="17" spans="2:4" x14ac:dyDescent="0.45">
      <c r="B17" s="11">
        <v>10</v>
      </c>
      <c r="C17" s="11"/>
      <c r="D17" s="11">
        <f>COUNTIFS('1.Export'!L$1:L$543,"="&amp;'4.Synthèse'!B17)</f>
        <v>0</v>
      </c>
    </row>
  </sheetData>
  <mergeCells count="1">
    <mergeCell ref="E7:I7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332FA-C665-465D-BA97-0054B2350BB5}">
  <sheetPr codeName="Feuil2"/>
  <dimension ref="A1:E84"/>
  <sheetViews>
    <sheetView workbookViewId="0">
      <pane ySplit="1" topLeftCell="A50" activePane="bottomLeft" state="frozen"/>
      <selection pane="bottomLeft" activeCell="G19" sqref="G19"/>
    </sheetView>
  </sheetViews>
  <sheetFormatPr defaultColWidth="10.6640625" defaultRowHeight="14.25" x14ac:dyDescent="0.45"/>
  <cols>
    <col min="3" max="3" width="20.73046875" customWidth="1"/>
  </cols>
  <sheetData>
    <row r="1" spans="1:5" x14ac:dyDescent="0.45">
      <c r="A1" s="1" t="s">
        <v>1188</v>
      </c>
      <c r="B1" s="1" t="s">
        <v>9</v>
      </c>
      <c r="C1" s="1" t="s">
        <v>10</v>
      </c>
      <c r="D1" s="1" t="s">
        <v>1186</v>
      </c>
      <c r="E1" s="1" t="s">
        <v>1187</v>
      </c>
    </row>
    <row r="2" spans="1:5" x14ac:dyDescent="0.45">
      <c r="A2">
        <v>1</v>
      </c>
      <c r="B2" s="17" t="s">
        <v>1213</v>
      </c>
      <c r="C2" s="17" t="s">
        <v>89</v>
      </c>
    </row>
    <row r="3" spans="1:5" x14ac:dyDescent="0.45">
      <c r="A3">
        <v>2</v>
      </c>
      <c r="B3" s="17" t="s">
        <v>820</v>
      </c>
      <c r="C3" s="17" t="s">
        <v>1218</v>
      </c>
    </row>
    <row r="4" spans="1:5" x14ac:dyDescent="0.45">
      <c r="A4">
        <v>3</v>
      </c>
      <c r="B4" s="17" t="s">
        <v>1221</v>
      </c>
      <c r="C4" s="17" t="s">
        <v>1222</v>
      </c>
    </row>
    <row r="5" spans="1:5" x14ac:dyDescent="0.45">
      <c r="A5">
        <v>4</v>
      </c>
      <c r="B5" s="17" t="s">
        <v>1226</v>
      </c>
      <c r="C5" s="17" t="s">
        <v>1227</v>
      </c>
    </row>
    <row r="6" spans="1:5" x14ac:dyDescent="0.45">
      <c r="A6">
        <v>5</v>
      </c>
      <c r="B6" s="17" t="s">
        <v>1258</v>
      </c>
      <c r="C6" s="17" t="s">
        <v>1259</v>
      </c>
    </row>
    <row r="7" spans="1:5" x14ac:dyDescent="0.45">
      <c r="A7">
        <v>6</v>
      </c>
      <c r="B7" s="17" t="s">
        <v>1265</v>
      </c>
      <c r="C7" s="17" t="s">
        <v>1266</v>
      </c>
    </row>
    <row r="8" spans="1:5" x14ac:dyDescent="0.45">
      <c r="A8">
        <v>7</v>
      </c>
      <c r="B8" s="17" t="s">
        <v>1243</v>
      </c>
      <c r="C8" s="17" t="s">
        <v>1269</v>
      </c>
    </row>
    <row r="9" spans="1:5" x14ac:dyDescent="0.45">
      <c r="A9">
        <v>8</v>
      </c>
      <c r="B9" s="17" t="s">
        <v>262</v>
      </c>
      <c r="C9" s="17" t="s">
        <v>1272</v>
      </c>
    </row>
    <row r="10" spans="1:5" x14ac:dyDescent="0.45">
      <c r="A10">
        <v>9</v>
      </c>
      <c r="B10" s="17" t="s">
        <v>1275</v>
      </c>
      <c r="C10" s="17" t="s">
        <v>117</v>
      </c>
    </row>
    <row r="11" spans="1:5" x14ac:dyDescent="0.45">
      <c r="A11">
        <v>10</v>
      </c>
      <c r="B11" s="17" t="s">
        <v>50</v>
      </c>
      <c r="C11" s="17" t="s">
        <v>1278</v>
      </c>
    </row>
    <row r="12" spans="1:5" x14ac:dyDescent="0.45">
      <c r="A12">
        <v>11</v>
      </c>
      <c r="B12" s="17" t="s">
        <v>1279</v>
      </c>
      <c r="C12" s="17" t="s">
        <v>1280</v>
      </c>
    </row>
    <row r="13" spans="1:5" x14ac:dyDescent="0.45">
      <c r="A13">
        <v>12</v>
      </c>
      <c r="B13" s="17" t="s">
        <v>1292</v>
      </c>
      <c r="C13" s="17" t="s">
        <v>1293</v>
      </c>
    </row>
    <row r="14" spans="1:5" x14ac:dyDescent="0.45">
      <c r="A14">
        <v>13</v>
      </c>
      <c r="B14" s="17" t="s">
        <v>1295</v>
      </c>
      <c r="C14" s="17" t="s">
        <v>1296</v>
      </c>
    </row>
    <row r="15" spans="1:5" x14ac:dyDescent="0.45">
      <c r="A15">
        <v>14</v>
      </c>
      <c r="B15" s="17" t="s">
        <v>1211</v>
      </c>
      <c r="C15" s="17" t="s">
        <v>1315</v>
      </c>
    </row>
    <row r="16" spans="1:5" x14ac:dyDescent="0.45">
      <c r="A16">
        <v>15</v>
      </c>
      <c r="B16" s="17" t="s">
        <v>1316</v>
      </c>
      <c r="C16" s="17" t="s">
        <v>1317</v>
      </c>
    </row>
    <row r="17" spans="1:3" x14ac:dyDescent="0.45">
      <c r="A17">
        <v>16</v>
      </c>
      <c r="B17" s="17" t="s">
        <v>1364</v>
      </c>
      <c r="C17" s="17" t="s">
        <v>1314</v>
      </c>
    </row>
    <row r="18" spans="1:3" x14ac:dyDescent="0.45">
      <c r="A18">
        <v>17</v>
      </c>
      <c r="B18" s="17" t="s">
        <v>820</v>
      </c>
      <c r="C18" s="17" t="s">
        <v>1370</v>
      </c>
    </row>
    <row r="19" spans="1:3" x14ac:dyDescent="0.45">
      <c r="A19">
        <v>18</v>
      </c>
      <c r="B19" s="17" t="s">
        <v>1371</v>
      </c>
      <c r="C19" s="17" t="s">
        <v>1372</v>
      </c>
    </row>
    <row r="20" spans="1:3" x14ac:dyDescent="0.45">
      <c r="A20">
        <v>19</v>
      </c>
      <c r="B20" s="17" t="s">
        <v>1397</v>
      </c>
      <c r="C20" s="17" t="s">
        <v>1398</v>
      </c>
    </row>
    <row r="21" spans="1:3" x14ac:dyDescent="0.45">
      <c r="A21">
        <v>20</v>
      </c>
      <c r="B21" s="17" t="s">
        <v>1375</v>
      </c>
      <c r="C21" s="17" t="s">
        <v>1405</v>
      </c>
    </row>
    <row r="22" spans="1:3" x14ac:dyDescent="0.45">
      <c r="A22">
        <v>21</v>
      </c>
      <c r="B22" s="17" t="s">
        <v>547</v>
      </c>
      <c r="C22" s="17" t="s">
        <v>481</v>
      </c>
    </row>
    <row r="23" spans="1:3" x14ac:dyDescent="0.45">
      <c r="A23">
        <v>22</v>
      </c>
      <c r="B23" s="17" t="s">
        <v>342</v>
      </c>
      <c r="C23" s="17" t="s">
        <v>1213</v>
      </c>
    </row>
    <row r="24" spans="1:3" x14ac:dyDescent="0.45">
      <c r="A24">
        <v>23</v>
      </c>
      <c r="B24" s="17" t="s">
        <v>1345</v>
      </c>
      <c r="C24" s="17" t="s">
        <v>1415</v>
      </c>
    </row>
    <row r="25" spans="1:3" x14ac:dyDescent="0.45">
      <c r="A25">
        <v>24</v>
      </c>
      <c r="B25" s="17" t="s">
        <v>1429</v>
      </c>
      <c r="C25" s="17" t="s">
        <v>1430</v>
      </c>
    </row>
    <row r="26" spans="1:3" x14ac:dyDescent="0.45">
      <c r="A26">
        <v>25</v>
      </c>
      <c r="B26" s="17" t="s">
        <v>1290</v>
      </c>
      <c r="C26" s="17" t="s">
        <v>1322</v>
      </c>
    </row>
    <row r="27" spans="1:3" x14ac:dyDescent="0.45">
      <c r="A27">
        <v>26</v>
      </c>
      <c r="B27" s="17" t="s">
        <v>1236</v>
      </c>
      <c r="C27" s="17" t="s">
        <v>1433</v>
      </c>
    </row>
    <row r="28" spans="1:3" x14ac:dyDescent="0.45">
      <c r="A28">
        <v>27</v>
      </c>
      <c r="B28" s="17" t="s">
        <v>1444</v>
      </c>
      <c r="C28" s="17" t="s">
        <v>1445</v>
      </c>
    </row>
    <row r="29" spans="1:3" x14ac:dyDescent="0.45">
      <c r="A29">
        <v>28</v>
      </c>
      <c r="B29" s="17" t="s">
        <v>1307</v>
      </c>
      <c r="C29" s="17" t="s">
        <v>1447</v>
      </c>
    </row>
    <row r="30" spans="1:3" x14ac:dyDescent="0.45">
      <c r="A30">
        <v>29</v>
      </c>
      <c r="B30" s="17" t="s">
        <v>1410</v>
      </c>
      <c r="C30" s="17" t="s">
        <v>1453</v>
      </c>
    </row>
    <row r="31" spans="1:3" x14ac:dyDescent="0.45">
      <c r="A31">
        <v>30</v>
      </c>
      <c r="B31" s="17" t="s">
        <v>233</v>
      </c>
      <c r="C31" s="17" t="s">
        <v>1430</v>
      </c>
    </row>
    <row r="32" spans="1:3" x14ac:dyDescent="0.45">
      <c r="A32">
        <v>31</v>
      </c>
      <c r="B32" s="17" t="s">
        <v>1321</v>
      </c>
      <c r="C32" s="17" t="s">
        <v>1456</v>
      </c>
    </row>
    <row r="33" spans="1:3" x14ac:dyDescent="0.45">
      <c r="A33">
        <v>32</v>
      </c>
      <c r="B33" s="17" t="s">
        <v>647</v>
      </c>
      <c r="C33" s="17" t="s">
        <v>1371</v>
      </c>
    </row>
    <row r="34" spans="1:3" x14ac:dyDescent="0.45">
      <c r="A34">
        <v>33</v>
      </c>
      <c r="B34" s="17" t="s">
        <v>1463</v>
      </c>
      <c r="C34" s="17" t="s">
        <v>1461</v>
      </c>
    </row>
    <row r="35" spans="1:3" x14ac:dyDescent="0.45">
      <c r="A35">
        <v>34</v>
      </c>
      <c r="B35" s="17" t="s">
        <v>1411</v>
      </c>
      <c r="C35" s="17" t="s">
        <v>1385</v>
      </c>
    </row>
    <row r="36" spans="1:3" x14ac:dyDescent="0.45">
      <c r="A36">
        <v>35</v>
      </c>
      <c r="B36" s="17" t="s">
        <v>1484</v>
      </c>
      <c r="C36" s="17" t="s">
        <v>1485</v>
      </c>
    </row>
    <row r="37" spans="1:3" x14ac:dyDescent="0.45">
      <c r="A37">
        <v>36</v>
      </c>
      <c r="B37" s="17" t="s">
        <v>1487</v>
      </c>
      <c r="C37" s="17" t="s">
        <v>1488</v>
      </c>
    </row>
    <row r="38" spans="1:3" x14ac:dyDescent="0.45">
      <c r="A38">
        <v>37</v>
      </c>
      <c r="B38" s="17" t="s">
        <v>117</v>
      </c>
      <c r="C38" s="17" t="s">
        <v>1298</v>
      </c>
    </row>
    <row r="39" spans="1:3" x14ac:dyDescent="0.45">
      <c r="A39">
        <v>38</v>
      </c>
      <c r="B39" s="17" t="s">
        <v>1444</v>
      </c>
      <c r="C39" s="17" t="s">
        <v>1478</v>
      </c>
    </row>
    <row r="40" spans="1:3" x14ac:dyDescent="0.45">
      <c r="A40">
        <v>39</v>
      </c>
      <c r="B40" s="17" t="s">
        <v>1214</v>
      </c>
      <c r="C40" s="17" t="s">
        <v>1496</v>
      </c>
    </row>
    <row r="41" spans="1:3" x14ac:dyDescent="0.45">
      <c r="A41">
        <v>40</v>
      </c>
      <c r="B41" s="17" t="s">
        <v>1364</v>
      </c>
      <c r="C41" s="17" t="s">
        <v>1245</v>
      </c>
    </row>
    <row r="42" spans="1:3" x14ac:dyDescent="0.45">
      <c r="A42">
        <v>41</v>
      </c>
      <c r="B42" s="17" t="s">
        <v>1507</v>
      </c>
      <c r="C42" s="17" t="s">
        <v>1467</v>
      </c>
    </row>
    <row r="43" spans="1:3" x14ac:dyDescent="0.45">
      <c r="A43">
        <v>42</v>
      </c>
      <c r="B43" s="17" t="s">
        <v>1226</v>
      </c>
      <c r="C43" s="17" t="s">
        <v>1517</v>
      </c>
    </row>
    <row r="44" spans="1:3" x14ac:dyDescent="0.45">
      <c r="A44">
        <v>43</v>
      </c>
      <c r="B44" s="17" t="s">
        <v>246</v>
      </c>
      <c r="C44" s="17" t="s">
        <v>1261</v>
      </c>
    </row>
    <row r="45" spans="1:3" x14ac:dyDescent="0.45">
      <c r="A45">
        <v>44</v>
      </c>
      <c r="B45" s="17" t="s">
        <v>1236</v>
      </c>
      <c r="C45" s="17" t="s">
        <v>1520</v>
      </c>
    </row>
    <row r="46" spans="1:3" x14ac:dyDescent="0.45">
      <c r="A46">
        <v>45</v>
      </c>
      <c r="B46" s="17" t="s">
        <v>1355</v>
      </c>
      <c r="C46" s="17" t="s">
        <v>1389</v>
      </c>
    </row>
    <row r="47" spans="1:3" x14ac:dyDescent="0.45">
      <c r="A47">
        <v>46</v>
      </c>
      <c r="B47" s="17" t="s">
        <v>720</v>
      </c>
      <c r="C47" s="17" t="s">
        <v>1509</v>
      </c>
    </row>
    <row r="48" spans="1:3" x14ac:dyDescent="0.45">
      <c r="A48">
        <v>47</v>
      </c>
      <c r="B48" s="17" t="s">
        <v>1221</v>
      </c>
      <c r="C48" s="17" t="s">
        <v>733</v>
      </c>
    </row>
    <row r="49" spans="1:3" x14ac:dyDescent="0.45">
      <c r="A49">
        <v>48</v>
      </c>
      <c r="B49" s="17" t="s">
        <v>522</v>
      </c>
      <c r="C49" s="17" t="s">
        <v>1524</v>
      </c>
    </row>
    <row r="50" spans="1:3" x14ac:dyDescent="0.45">
      <c r="A50">
        <v>49</v>
      </c>
      <c r="B50" s="17" t="s">
        <v>269</v>
      </c>
      <c r="C50" s="17" t="s">
        <v>1532</v>
      </c>
    </row>
    <row r="51" spans="1:3" x14ac:dyDescent="0.45">
      <c r="A51">
        <v>50</v>
      </c>
      <c r="B51" s="17" t="s">
        <v>1379</v>
      </c>
      <c r="C51" s="17" t="s">
        <v>1346</v>
      </c>
    </row>
    <row r="52" spans="1:3" x14ac:dyDescent="0.45">
      <c r="A52">
        <v>51</v>
      </c>
      <c r="B52" s="17" t="s">
        <v>802</v>
      </c>
      <c r="C52" s="17" t="s">
        <v>1299</v>
      </c>
    </row>
    <row r="53" spans="1:3" x14ac:dyDescent="0.45">
      <c r="A53">
        <v>52</v>
      </c>
      <c r="B53" s="17" t="s">
        <v>1383</v>
      </c>
      <c r="C53" s="17" t="s">
        <v>1372</v>
      </c>
    </row>
    <row r="54" spans="1:3" x14ac:dyDescent="0.45">
      <c r="A54">
        <v>53</v>
      </c>
      <c r="B54" s="17" t="s">
        <v>1547</v>
      </c>
      <c r="C54" s="17" t="s">
        <v>1467</v>
      </c>
    </row>
    <row r="55" spans="1:3" x14ac:dyDescent="0.45">
      <c r="A55">
        <v>54</v>
      </c>
      <c r="B55" s="17" t="s">
        <v>720</v>
      </c>
      <c r="C55" s="17" t="s">
        <v>1531</v>
      </c>
    </row>
    <row r="56" spans="1:3" x14ac:dyDescent="0.45">
      <c r="A56">
        <v>55</v>
      </c>
      <c r="B56" s="17" t="s">
        <v>1345</v>
      </c>
      <c r="C56" s="17" t="s">
        <v>1513</v>
      </c>
    </row>
    <row r="57" spans="1:3" x14ac:dyDescent="0.45">
      <c r="A57">
        <v>56</v>
      </c>
      <c r="B57" s="17" t="s">
        <v>1436</v>
      </c>
      <c r="C57" s="17" t="s">
        <v>1313</v>
      </c>
    </row>
    <row r="58" spans="1:3" x14ac:dyDescent="0.45">
      <c r="A58">
        <v>57</v>
      </c>
      <c r="B58" s="17" t="s">
        <v>1418</v>
      </c>
      <c r="C58" s="17" t="s">
        <v>1466</v>
      </c>
    </row>
    <row r="59" spans="1:3" x14ac:dyDescent="0.45">
      <c r="A59">
        <v>58</v>
      </c>
      <c r="B59" s="17" t="s">
        <v>542</v>
      </c>
      <c r="C59" s="17" t="s">
        <v>1233</v>
      </c>
    </row>
    <row r="60" spans="1:3" x14ac:dyDescent="0.45">
      <c r="A60">
        <v>59</v>
      </c>
      <c r="B60" s="17" t="s">
        <v>1343</v>
      </c>
      <c r="C60" s="17" t="s">
        <v>1501</v>
      </c>
    </row>
    <row r="61" spans="1:3" x14ac:dyDescent="0.45">
      <c r="A61">
        <v>60</v>
      </c>
      <c r="B61" s="13" t="s">
        <v>1402</v>
      </c>
      <c r="C61" s="13" t="s">
        <v>1382</v>
      </c>
    </row>
    <row r="62" spans="1:3" x14ac:dyDescent="0.45">
      <c r="A62">
        <v>61</v>
      </c>
      <c r="B62" s="13" t="s">
        <v>1306</v>
      </c>
      <c r="C62" s="13" t="s">
        <v>1416</v>
      </c>
    </row>
    <row r="63" spans="1:3" x14ac:dyDescent="0.45">
      <c r="A63">
        <v>62</v>
      </c>
      <c r="B63" s="17" t="s">
        <v>1451</v>
      </c>
      <c r="C63" s="17" t="s">
        <v>1320</v>
      </c>
    </row>
    <row r="64" spans="1:3" x14ac:dyDescent="0.45">
      <c r="A64">
        <v>63</v>
      </c>
      <c r="B64" s="13" t="s">
        <v>1262</v>
      </c>
      <c r="C64" s="13" t="s">
        <v>1277</v>
      </c>
    </row>
    <row r="65" spans="2:3" x14ac:dyDescent="0.45">
      <c r="B65" s="30" t="s">
        <v>59</v>
      </c>
      <c r="C65" s="30" t="s">
        <v>1530</v>
      </c>
    </row>
    <row r="66" spans="2:3" x14ac:dyDescent="0.45">
      <c r="B66" s="30" t="s">
        <v>1277</v>
      </c>
      <c r="C66" s="30" t="s">
        <v>1246</v>
      </c>
    </row>
    <row r="67" spans="2:3" x14ac:dyDescent="0.45">
      <c r="B67" s="30" t="s">
        <v>1294</v>
      </c>
      <c r="C67" s="30" t="s">
        <v>1591</v>
      </c>
    </row>
    <row r="68" spans="2:3" x14ac:dyDescent="0.45">
      <c r="B68" s="30" t="s">
        <v>473</v>
      </c>
      <c r="C68" s="30" t="s">
        <v>1370</v>
      </c>
    </row>
    <row r="69" spans="2:3" x14ac:dyDescent="0.45">
      <c r="B69" s="30" t="s">
        <v>1388</v>
      </c>
      <c r="C69" s="30" t="s">
        <v>1401</v>
      </c>
    </row>
    <row r="70" spans="2:3" x14ac:dyDescent="0.45">
      <c r="B70" s="30" t="s">
        <v>1230</v>
      </c>
      <c r="C70" s="30" t="s">
        <v>1468</v>
      </c>
    </row>
    <row r="71" spans="2:3" x14ac:dyDescent="0.45">
      <c r="B71" s="30" t="s">
        <v>1598</v>
      </c>
      <c r="C71" s="30" t="s">
        <v>1372</v>
      </c>
    </row>
    <row r="72" spans="2:3" x14ac:dyDescent="0.45">
      <c r="B72" s="30"/>
      <c r="C72" s="30"/>
    </row>
    <row r="73" spans="2:3" x14ac:dyDescent="0.45">
      <c r="B73" s="30"/>
      <c r="C73" s="30"/>
    </row>
    <row r="74" spans="2:3" x14ac:dyDescent="0.45">
      <c r="B74" s="30"/>
      <c r="C74" s="30"/>
    </row>
    <row r="75" spans="2:3" x14ac:dyDescent="0.45">
      <c r="B75" s="30"/>
      <c r="C75" s="30"/>
    </row>
    <row r="76" spans="2:3" x14ac:dyDescent="0.45">
      <c r="B76" s="30"/>
      <c r="C76" s="30"/>
    </row>
    <row r="77" spans="2:3" x14ac:dyDescent="0.45">
      <c r="B77" s="30"/>
      <c r="C77" s="30"/>
    </row>
    <row r="78" spans="2:3" x14ac:dyDescent="0.45">
      <c r="B78" s="30"/>
      <c r="C78" s="30"/>
    </row>
    <row r="79" spans="2:3" x14ac:dyDescent="0.45">
      <c r="B79" s="30"/>
      <c r="C79" s="30"/>
    </row>
    <row r="80" spans="2:3" x14ac:dyDescent="0.45">
      <c r="B80" s="30"/>
      <c r="C80" s="30"/>
    </row>
    <row r="81" spans="2:3" x14ac:dyDescent="0.45">
      <c r="B81" s="30"/>
      <c r="C81" s="30"/>
    </row>
    <row r="82" spans="2:3" x14ac:dyDescent="0.45">
      <c r="B82" s="30"/>
      <c r="C82" s="30"/>
    </row>
    <row r="83" spans="2:3" x14ac:dyDescent="0.45">
      <c r="B83" s="30"/>
      <c r="C83" s="30"/>
    </row>
    <row r="84" spans="2:3" x14ac:dyDescent="0.45">
      <c r="B84" s="30"/>
      <c r="C84" s="30"/>
    </row>
  </sheetData>
  <sortState xmlns:xlrd2="http://schemas.microsoft.com/office/spreadsheetml/2017/richdata2" ref="A2:E64">
    <sortCondition ref="C1:C64"/>
  </sortState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2FEB6-9B10-43B4-B991-95BFB7331BE2}">
  <sheetPr codeName="Feuil6"/>
  <dimension ref="A1:E64"/>
  <sheetViews>
    <sheetView workbookViewId="0">
      <pane ySplit="1" topLeftCell="A2" activePane="bottomLeft" state="frozen"/>
      <selection pane="bottomLeft" activeCell="D23" sqref="D23"/>
    </sheetView>
  </sheetViews>
  <sheetFormatPr defaultColWidth="10.6640625" defaultRowHeight="14.25" x14ac:dyDescent="0.45"/>
  <cols>
    <col min="3" max="3" width="29.265625" customWidth="1"/>
  </cols>
  <sheetData>
    <row r="1" spans="1:5" x14ac:dyDescent="0.45">
      <c r="A1" s="1" t="s">
        <v>1188</v>
      </c>
      <c r="B1" s="1" t="s">
        <v>9</v>
      </c>
      <c r="C1" s="1" t="s">
        <v>10</v>
      </c>
      <c r="D1" s="1" t="s">
        <v>1186</v>
      </c>
      <c r="E1" s="1" t="s">
        <v>1187</v>
      </c>
    </row>
    <row r="2" spans="1:5" x14ac:dyDescent="0.45">
      <c r="A2">
        <v>1</v>
      </c>
      <c r="B2" s="17" t="s">
        <v>1211</v>
      </c>
      <c r="C2" s="17" t="s">
        <v>1212</v>
      </c>
    </row>
    <row r="3" spans="1:5" x14ac:dyDescent="0.45">
      <c r="A3">
        <v>2</v>
      </c>
      <c r="B3" s="17" t="s">
        <v>59</v>
      </c>
      <c r="C3" s="17" t="s">
        <v>206</v>
      </c>
    </row>
    <row r="4" spans="1:5" x14ac:dyDescent="0.45">
      <c r="A4">
        <v>3</v>
      </c>
      <c r="B4" s="17" t="s">
        <v>1247</v>
      </c>
      <c r="C4" s="17" t="s">
        <v>1248</v>
      </c>
    </row>
    <row r="5" spans="1:5" x14ac:dyDescent="0.45">
      <c r="A5">
        <v>4</v>
      </c>
      <c r="B5" s="17" t="s">
        <v>1223</v>
      </c>
      <c r="C5" s="17" t="s">
        <v>1253</v>
      </c>
    </row>
    <row r="6" spans="1:5" x14ac:dyDescent="0.45">
      <c r="A6">
        <v>5</v>
      </c>
      <c r="B6" s="17" t="s">
        <v>257</v>
      </c>
      <c r="C6" s="17" t="s">
        <v>1261</v>
      </c>
    </row>
    <row r="7" spans="1:5" x14ac:dyDescent="0.45">
      <c r="A7">
        <v>6</v>
      </c>
      <c r="B7" s="17" t="s">
        <v>1264</v>
      </c>
      <c r="C7" s="17" t="s">
        <v>1212</v>
      </c>
    </row>
    <row r="8" spans="1:5" x14ac:dyDescent="0.45">
      <c r="A8">
        <v>7</v>
      </c>
      <c r="B8" s="17" t="s">
        <v>473</v>
      </c>
      <c r="C8" s="17" t="s">
        <v>1285</v>
      </c>
    </row>
    <row r="9" spans="1:5" x14ac:dyDescent="0.45">
      <c r="A9">
        <v>8</v>
      </c>
      <c r="B9" s="17" t="s">
        <v>802</v>
      </c>
      <c r="C9" s="17" t="s">
        <v>1286</v>
      </c>
    </row>
    <row r="10" spans="1:5" x14ac:dyDescent="0.45">
      <c r="A10">
        <v>9</v>
      </c>
      <c r="B10" s="17" t="s">
        <v>679</v>
      </c>
      <c r="C10" s="17" t="s">
        <v>1299</v>
      </c>
    </row>
    <row r="11" spans="1:5" x14ac:dyDescent="0.45">
      <c r="A11">
        <v>10</v>
      </c>
      <c r="B11" s="17" t="s">
        <v>1262</v>
      </c>
      <c r="C11" s="17" t="s">
        <v>1311</v>
      </c>
    </row>
    <row r="12" spans="1:5" x14ac:dyDescent="0.45">
      <c r="A12">
        <v>11</v>
      </c>
      <c r="B12" s="17" t="s">
        <v>1350</v>
      </c>
      <c r="C12" s="17" t="s">
        <v>1351</v>
      </c>
    </row>
    <row r="13" spans="1:5" x14ac:dyDescent="0.45">
      <c r="A13">
        <v>12</v>
      </c>
      <c r="B13" s="17" t="s">
        <v>1356</v>
      </c>
      <c r="C13" s="17" t="s">
        <v>1357</v>
      </c>
    </row>
    <row r="14" spans="1:5" x14ac:dyDescent="0.45">
      <c r="A14">
        <v>13</v>
      </c>
      <c r="B14" s="17" t="s">
        <v>1323</v>
      </c>
      <c r="C14" s="17" t="s">
        <v>1361</v>
      </c>
    </row>
    <row r="15" spans="1:5" x14ac:dyDescent="0.45">
      <c r="A15">
        <v>14</v>
      </c>
      <c r="B15" s="17" t="s">
        <v>1294</v>
      </c>
      <c r="C15" s="17" t="s">
        <v>1368</v>
      </c>
    </row>
    <row r="16" spans="1:5" x14ac:dyDescent="0.45">
      <c r="A16">
        <v>15</v>
      </c>
      <c r="B16" s="17" t="s">
        <v>1377</v>
      </c>
      <c r="C16" s="17" t="s">
        <v>1378</v>
      </c>
    </row>
    <row r="17" spans="1:3" x14ac:dyDescent="0.45">
      <c r="A17">
        <v>16</v>
      </c>
      <c r="B17" s="17" t="s">
        <v>1388</v>
      </c>
      <c r="C17" s="17" t="s">
        <v>1389</v>
      </c>
    </row>
    <row r="18" spans="1:3" x14ac:dyDescent="0.45">
      <c r="A18">
        <v>17</v>
      </c>
      <c r="B18" s="17" t="s">
        <v>1241</v>
      </c>
      <c r="C18" s="17" t="s">
        <v>1392</v>
      </c>
    </row>
    <row r="19" spans="1:3" x14ac:dyDescent="0.45">
      <c r="A19">
        <v>18</v>
      </c>
      <c r="B19" s="17" t="s">
        <v>1410</v>
      </c>
      <c r="C19" s="17" t="s">
        <v>1416</v>
      </c>
    </row>
    <row r="20" spans="1:3" x14ac:dyDescent="0.45">
      <c r="A20">
        <v>19</v>
      </c>
      <c r="B20" s="17" t="s">
        <v>1290</v>
      </c>
      <c r="C20" s="17" t="s">
        <v>1424</v>
      </c>
    </row>
    <row r="21" spans="1:3" x14ac:dyDescent="0.45">
      <c r="A21">
        <v>20</v>
      </c>
      <c r="B21" s="17" t="s">
        <v>1425</v>
      </c>
      <c r="C21" s="17" t="s">
        <v>1361</v>
      </c>
    </row>
    <row r="22" spans="1:3" x14ac:dyDescent="0.45">
      <c r="A22">
        <v>21</v>
      </c>
      <c r="B22" s="17" t="s">
        <v>1431</v>
      </c>
      <c r="C22" s="17" t="s">
        <v>1432</v>
      </c>
    </row>
    <row r="23" spans="1:3" x14ac:dyDescent="0.45">
      <c r="A23">
        <v>22</v>
      </c>
      <c r="B23" s="17" t="s">
        <v>1343</v>
      </c>
      <c r="C23" s="17" t="s">
        <v>1286</v>
      </c>
    </row>
    <row r="24" spans="1:3" x14ac:dyDescent="0.45">
      <c r="A24">
        <v>23</v>
      </c>
      <c r="B24" s="17" t="s">
        <v>671</v>
      </c>
      <c r="C24" s="17" t="s">
        <v>1448</v>
      </c>
    </row>
    <row r="25" spans="1:3" x14ac:dyDescent="0.45">
      <c r="A25">
        <v>24</v>
      </c>
      <c r="B25" s="17" t="s">
        <v>1254</v>
      </c>
      <c r="C25" s="17" t="s">
        <v>1283</v>
      </c>
    </row>
    <row r="26" spans="1:3" x14ac:dyDescent="0.45">
      <c r="A26">
        <v>25</v>
      </c>
      <c r="B26" s="17" t="s">
        <v>1300</v>
      </c>
      <c r="C26" s="17" t="s">
        <v>1280</v>
      </c>
    </row>
    <row r="27" spans="1:3" x14ac:dyDescent="0.45">
      <c r="A27">
        <v>26</v>
      </c>
      <c r="B27" s="17" t="s">
        <v>1449</v>
      </c>
      <c r="C27" s="17" t="s">
        <v>1253</v>
      </c>
    </row>
    <row r="28" spans="1:3" x14ac:dyDescent="0.45">
      <c r="A28">
        <v>27</v>
      </c>
      <c r="B28" s="17" t="s">
        <v>679</v>
      </c>
      <c r="C28" s="17" t="s">
        <v>1324</v>
      </c>
    </row>
    <row r="29" spans="1:3" x14ac:dyDescent="0.45">
      <c r="A29">
        <v>28</v>
      </c>
      <c r="B29" s="17" t="s">
        <v>1460</v>
      </c>
      <c r="C29" s="17" t="s">
        <v>1461</v>
      </c>
    </row>
    <row r="30" spans="1:3" x14ac:dyDescent="0.45">
      <c r="A30">
        <v>29</v>
      </c>
      <c r="B30" s="17" t="s">
        <v>1273</v>
      </c>
      <c r="C30" s="17" t="s">
        <v>1473</v>
      </c>
    </row>
    <row r="31" spans="1:3" x14ac:dyDescent="0.45">
      <c r="A31">
        <v>30</v>
      </c>
      <c r="B31" s="17" t="s">
        <v>1216</v>
      </c>
      <c r="C31" s="17" t="s">
        <v>1481</v>
      </c>
    </row>
    <row r="32" spans="1:3" x14ac:dyDescent="0.45">
      <c r="A32">
        <v>31</v>
      </c>
      <c r="B32" s="17" t="s">
        <v>257</v>
      </c>
      <c r="C32" s="17" t="s">
        <v>1244</v>
      </c>
    </row>
    <row r="33" spans="1:3" x14ac:dyDescent="0.45">
      <c r="A33">
        <v>32</v>
      </c>
      <c r="B33" s="17" t="s">
        <v>1343</v>
      </c>
      <c r="C33" s="17" t="s">
        <v>1398</v>
      </c>
    </row>
    <row r="34" spans="1:3" x14ac:dyDescent="0.45">
      <c r="A34">
        <v>33</v>
      </c>
      <c r="B34" s="17" t="s">
        <v>1454</v>
      </c>
      <c r="C34" s="17" t="s">
        <v>1496</v>
      </c>
    </row>
    <row r="35" spans="1:3" x14ac:dyDescent="0.45">
      <c r="A35">
        <v>34</v>
      </c>
      <c r="B35" s="17" t="s">
        <v>1379</v>
      </c>
      <c r="C35" s="17" t="s">
        <v>1506</v>
      </c>
    </row>
    <row r="36" spans="1:3" x14ac:dyDescent="0.45">
      <c r="A36">
        <v>35</v>
      </c>
      <c r="B36" s="17" t="s">
        <v>1469</v>
      </c>
      <c r="C36" s="17" t="s">
        <v>1452</v>
      </c>
    </row>
    <row r="37" spans="1:3" x14ac:dyDescent="0.45">
      <c r="A37">
        <v>36</v>
      </c>
      <c r="B37" s="17" t="s">
        <v>1472</v>
      </c>
      <c r="C37" s="17" t="s">
        <v>1311</v>
      </c>
    </row>
    <row r="38" spans="1:3" x14ac:dyDescent="0.45">
      <c r="A38">
        <v>37</v>
      </c>
      <c r="B38" s="17" t="s">
        <v>1522</v>
      </c>
      <c r="C38" s="17" t="s">
        <v>1245</v>
      </c>
    </row>
    <row r="39" spans="1:3" x14ac:dyDescent="0.45">
      <c r="A39">
        <v>38</v>
      </c>
      <c r="B39" s="17" t="s">
        <v>671</v>
      </c>
      <c r="C39" s="17" t="s">
        <v>1528</v>
      </c>
    </row>
    <row r="40" spans="1:3" x14ac:dyDescent="0.45">
      <c r="A40">
        <v>39</v>
      </c>
      <c r="B40" s="17" t="s">
        <v>1359</v>
      </c>
      <c r="C40" s="17" t="s">
        <v>1533</v>
      </c>
    </row>
    <row r="41" spans="1:3" x14ac:dyDescent="0.45">
      <c r="A41">
        <v>40</v>
      </c>
      <c r="B41" s="17" t="s">
        <v>1258</v>
      </c>
      <c r="C41" s="17" t="s">
        <v>1540</v>
      </c>
    </row>
    <row r="42" spans="1:3" x14ac:dyDescent="0.45">
      <c r="A42">
        <v>41</v>
      </c>
      <c r="B42" s="17" t="s">
        <v>1444</v>
      </c>
      <c r="C42" s="17" t="s">
        <v>1488</v>
      </c>
    </row>
    <row r="43" spans="1:3" x14ac:dyDescent="0.45">
      <c r="A43">
        <v>42</v>
      </c>
      <c r="B43" s="17" t="s">
        <v>1544</v>
      </c>
      <c r="C43" s="17" t="s">
        <v>1450</v>
      </c>
    </row>
    <row r="44" spans="1:3" x14ac:dyDescent="0.45">
      <c r="A44">
        <v>43</v>
      </c>
      <c r="B44" s="17" t="s">
        <v>1260</v>
      </c>
      <c r="C44" s="17" t="s">
        <v>1548</v>
      </c>
    </row>
    <row r="45" spans="1:3" x14ac:dyDescent="0.45">
      <c r="A45">
        <v>44</v>
      </c>
      <c r="B45" s="17" t="s">
        <v>1551</v>
      </c>
      <c r="C45" s="17" t="s">
        <v>1441</v>
      </c>
    </row>
    <row r="46" spans="1:3" x14ac:dyDescent="0.45">
      <c r="A46">
        <v>45</v>
      </c>
      <c r="B46" s="17" t="s">
        <v>1542</v>
      </c>
      <c r="C46" s="17" t="s">
        <v>1308</v>
      </c>
    </row>
    <row r="47" spans="1:3" x14ac:dyDescent="0.45">
      <c r="A47">
        <v>46</v>
      </c>
      <c r="B47" s="17" t="s">
        <v>1562</v>
      </c>
      <c r="C47" s="17" t="s">
        <v>1563</v>
      </c>
    </row>
    <row r="48" spans="1:3" x14ac:dyDescent="0.45">
      <c r="A48">
        <v>47</v>
      </c>
      <c r="B48" s="17" t="s">
        <v>1497</v>
      </c>
      <c r="C48" s="17" t="s">
        <v>1492</v>
      </c>
    </row>
    <row r="49" spans="1:3" x14ac:dyDescent="0.45">
      <c r="A49">
        <v>48</v>
      </c>
      <c r="B49" s="17" t="s">
        <v>912</v>
      </c>
      <c r="C49" s="17" t="s">
        <v>1558</v>
      </c>
    </row>
    <row r="50" spans="1:3" x14ac:dyDescent="0.45">
      <c r="A50">
        <v>49</v>
      </c>
      <c r="B50" s="17" t="s">
        <v>1529</v>
      </c>
      <c r="C50" s="17" t="s">
        <v>1219</v>
      </c>
    </row>
    <row r="51" spans="1:3" x14ac:dyDescent="0.45">
      <c r="A51">
        <v>50</v>
      </c>
      <c r="B51" s="17" t="s">
        <v>1569</v>
      </c>
      <c r="C51" s="17" t="s">
        <v>1329</v>
      </c>
    </row>
    <row r="52" spans="1:3" x14ac:dyDescent="0.45">
      <c r="A52">
        <v>51</v>
      </c>
      <c r="B52" s="17" t="s">
        <v>1288</v>
      </c>
      <c r="C52" s="17" t="s">
        <v>1571</v>
      </c>
    </row>
    <row r="53" spans="1:3" x14ac:dyDescent="0.45">
      <c r="A53">
        <v>52</v>
      </c>
      <c r="B53" s="17" t="s">
        <v>246</v>
      </c>
      <c r="C53" s="17" t="s">
        <v>1556</v>
      </c>
    </row>
    <row r="54" spans="1:3" x14ac:dyDescent="0.45">
      <c r="A54">
        <v>53</v>
      </c>
      <c r="B54" s="17" t="s">
        <v>1460</v>
      </c>
      <c r="C54" s="17" t="s">
        <v>117</v>
      </c>
    </row>
    <row r="55" spans="1:3" x14ac:dyDescent="0.45">
      <c r="A55">
        <v>54</v>
      </c>
      <c r="B55" s="17" t="s">
        <v>269</v>
      </c>
      <c r="C55" s="17" t="s">
        <v>1280</v>
      </c>
    </row>
    <row r="56" spans="1:3" x14ac:dyDescent="0.45">
      <c r="A56">
        <v>55</v>
      </c>
      <c r="B56" s="17" t="s">
        <v>1579</v>
      </c>
      <c r="C56" s="17" t="s">
        <v>1580</v>
      </c>
    </row>
    <row r="57" spans="1:3" x14ac:dyDescent="0.45">
      <c r="A57">
        <v>56</v>
      </c>
      <c r="B57" s="17" t="s">
        <v>1256</v>
      </c>
      <c r="C57" s="17" t="s">
        <v>1289</v>
      </c>
    </row>
    <row r="58" spans="1:3" x14ac:dyDescent="0.45">
      <c r="A58">
        <v>57</v>
      </c>
      <c r="B58" s="17" t="s">
        <v>221</v>
      </c>
      <c r="C58" s="17" t="s">
        <v>436</v>
      </c>
    </row>
    <row r="59" spans="1:3" x14ac:dyDescent="0.45">
      <c r="A59">
        <v>58</v>
      </c>
      <c r="B59" s="13" t="s">
        <v>1304</v>
      </c>
      <c r="C59" s="13" t="s">
        <v>1585</v>
      </c>
    </row>
    <row r="60" spans="1:3" x14ac:dyDescent="0.45">
      <c r="A60">
        <v>59</v>
      </c>
      <c r="B60" s="13" t="s">
        <v>1402</v>
      </c>
      <c r="C60" s="13" t="s">
        <v>1466</v>
      </c>
    </row>
    <row r="61" spans="1:3" x14ac:dyDescent="0.45">
      <c r="A61">
        <v>60</v>
      </c>
      <c r="B61" s="17" t="s">
        <v>1356</v>
      </c>
      <c r="C61" s="17" t="s">
        <v>1589</v>
      </c>
    </row>
    <row r="62" spans="1:3" x14ac:dyDescent="0.45">
      <c r="A62">
        <v>61</v>
      </c>
      <c r="B62" s="13" t="s">
        <v>1411</v>
      </c>
      <c r="C62" s="13" t="s">
        <v>1319</v>
      </c>
    </row>
    <row r="63" spans="1:3" x14ac:dyDescent="0.45">
      <c r="A63">
        <v>62</v>
      </c>
      <c r="B63" s="17" t="s">
        <v>881</v>
      </c>
      <c r="C63" s="17" t="s">
        <v>1595</v>
      </c>
    </row>
    <row r="64" spans="1:3" x14ac:dyDescent="0.45">
      <c r="A64">
        <v>63</v>
      </c>
      <c r="B64" s="13"/>
      <c r="C64" s="13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FE3E9-0155-482D-94DA-C35B8231981D}">
  <sheetPr codeName="Feuil8"/>
  <dimension ref="A1:E68"/>
  <sheetViews>
    <sheetView workbookViewId="0">
      <pane ySplit="1" topLeftCell="A2" activePane="bottomLeft" state="frozen"/>
      <selection pane="bottomLeft" sqref="A1:XFD1"/>
    </sheetView>
  </sheetViews>
  <sheetFormatPr defaultColWidth="10.6640625" defaultRowHeight="14.25" x14ac:dyDescent="0.45"/>
  <cols>
    <col min="3" max="3" width="24.1328125" customWidth="1"/>
  </cols>
  <sheetData>
    <row r="1" spans="1:5" x14ac:dyDescent="0.45">
      <c r="A1" s="1" t="s">
        <v>1188</v>
      </c>
      <c r="B1" s="1" t="s">
        <v>9</v>
      </c>
      <c r="C1" s="1" t="s">
        <v>10</v>
      </c>
      <c r="D1" s="1" t="s">
        <v>1186</v>
      </c>
      <c r="E1" s="1" t="s">
        <v>1187</v>
      </c>
    </row>
    <row r="2" spans="1:5" x14ac:dyDescent="0.45">
      <c r="A2">
        <v>1</v>
      </c>
      <c r="B2" s="17" t="s">
        <v>1216</v>
      </c>
      <c r="C2" s="17" t="s">
        <v>1217</v>
      </c>
    </row>
    <row r="3" spans="1:5" x14ac:dyDescent="0.45">
      <c r="A3">
        <v>2</v>
      </c>
      <c r="B3" s="17" t="s">
        <v>453</v>
      </c>
      <c r="C3" s="17" t="s">
        <v>1220</v>
      </c>
    </row>
    <row r="4" spans="1:5" x14ac:dyDescent="0.45">
      <c r="A4">
        <v>3</v>
      </c>
      <c r="B4" s="17" t="s">
        <v>1236</v>
      </c>
      <c r="C4" s="17" t="s">
        <v>1237</v>
      </c>
    </row>
    <row r="5" spans="1:5" x14ac:dyDescent="0.45">
      <c r="A5">
        <v>4</v>
      </c>
      <c r="B5" s="17" t="s">
        <v>1256</v>
      </c>
      <c r="C5" s="17" t="s">
        <v>1257</v>
      </c>
    </row>
    <row r="6" spans="1:5" x14ac:dyDescent="0.45">
      <c r="A6">
        <v>5</v>
      </c>
      <c r="B6" s="17" t="s">
        <v>1234</v>
      </c>
      <c r="C6" s="17" t="s">
        <v>1283</v>
      </c>
    </row>
    <row r="7" spans="1:5" x14ac:dyDescent="0.45">
      <c r="A7">
        <v>6</v>
      </c>
      <c r="B7" s="17" t="s">
        <v>742</v>
      </c>
      <c r="C7" s="17" t="s">
        <v>1287</v>
      </c>
    </row>
    <row r="8" spans="1:5" x14ac:dyDescent="0.45">
      <c r="A8">
        <v>7</v>
      </c>
      <c r="B8" s="17" t="s">
        <v>1279</v>
      </c>
      <c r="C8" s="17" t="s">
        <v>1310</v>
      </c>
    </row>
    <row r="9" spans="1:5" x14ac:dyDescent="0.45">
      <c r="A9">
        <v>8</v>
      </c>
      <c r="B9" s="17" t="s">
        <v>1307</v>
      </c>
      <c r="C9" s="17" t="s">
        <v>1314</v>
      </c>
    </row>
    <row r="10" spans="1:5" x14ac:dyDescent="0.45">
      <c r="A10">
        <v>9</v>
      </c>
      <c r="B10" s="17" t="s">
        <v>50</v>
      </c>
      <c r="C10" s="17" t="s">
        <v>1319</v>
      </c>
    </row>
    <row r="11" spans="1:5" x14ac:dyDescent="0.45">
      <c r="A11">
        <v>10</v>
      </c>
      <c r="B11" s="17" t="s">
        <v>682</v>
      </c>
      <c r="C11" s="17" t="s">
        <v>1282</v>
      </c>
    </row>
    <row r="12" spans="1:5" x14ac:dyDescent="0.45">
      <c r="A12">
        <v>11</v>
      </c>
      <c r="B12" s="17" t="s">
        <v>820</v>
      </c>
      <c r="C12" s="17" t="s">
        <v>1322</v>
      </c>
    </row>
    <row r="13" spans="1:5" x14ac:dyDescent="0.45">
      <c r="A13">
        <v>12</v>
      </c>
      <c r="B13" s="17" t="s">
        <v>1327</v>
      </c>
      <c r="C13" s="17" t="s">
        <v>1271</v>
      </c>
    </row>
    <row r="14" spans="1:5" x14ac:dyDescent="0.45">
      <c r="A14">
        <v>13</v>
      </c>
      <c r="B14" s="17" t="s">
        <v>1326</v>
      </c>
      <c r="C14" s="17" t="s">
        <v>436</v>
      </c>
    </row>
    <row r="15" spans="1:5" x14ac:dyDescent="0.45">
      <c r="A15">
        <v>14</v>
      </c>
      <c r="B15" s="17" t="s">
        <v>1216</v>
      </c>
      <c r="C15" s="17" t="s">
        <v>1336</v>
      </c>
    </row>
    <row r="16" spans="1:5" x14ac:dyDescent="0.45">
      <c r="A16">
        <v>15</v>
      </c>
      <c r="B16" s="17" t="s">
        <v>1239</v>
      </c>
      <c r="C16" s="17" t="s">
        <v>1224</v>
      </c>
    </row>
    <row r="17" spans="1:3" x14ac:dyDescent="0.45">
      <c r="A17">
        <v>16</v>
      </c>
      <c r="B17" s="17" t="s">
        <v>825</v>
      </c>
      <c r="C17" s="17" t="s">
        <v>1352</v>
      </c>
    </row>
    <row r="18" spans="1:3" x14ac:dyDescent="0.45">
      <c r="A18">
        <v>17</v>
      </c>
      <c r="B18" s="17" t="s">
        <v>1273</v>
      </c>
      <c r="C18" s="17" t="s">
        <v>1354</v>
      </c>
    </row>
    <row r="19" spans="1:3" x14ac:dyDescent="0.45">
      <c r="A19">
        <v>18</v>
      </c>
      <c r="B19" s="17" t="s">
        <v>246</v>
      </c>
      <c r="C19" s="17" t="s">
        <v>1365</v>
      </c>
    </row>
    <row r="20" spans="1:3" x14ac:dyDescent="0.45">
      <c r="A20">
        <v>19</v>
      </c>
      <c r="B20" s="17" t="s">
        <v>1316</v>
      </c>
      <c r="C20" s="17" t="s">
        <v>1369</v>
      </c>
    </row>
    <row r="21" spans="1:3" x14ac:dyDescent="0.45">
      <c r="A21">
        <v>20</v>
      </c>
      <c r="B21" s="17" t="s">
        <v>1326</v>
      </c>
      <c r="C21" s="17" t="s">
        <v>1245</v>
      </c>
    </row>
    <row r="22" spans="1:3" x14ac:dyDescent="0.45">
      <c r="A22">
        <v>21</v>
      </c>
      <c r="B22" s="17" t="s">
        <v>59</v>
      </c>
      <c r="C22" s="17" t="s">
        <v>1242</v>
      </c>
    </row>
    <row r="23" spans="1:3" x14ac:dyDescent="0.45">
      <c r="A23">
        <v>22</v>
      </c>
      <c r="B23" s="17" t="s">
        <v>1356</v>
      </c>
      <c r="C23" s="17" t="s">
        <v>376</v>
      </c>
    </row>
    <row r="24" spans="1:3" x14ac:dyDescent="0.45">
      <c r="A24">
        <v>23</v>
      </c>
      <c r="B24" s="17" t="s">
        <v>1408</v>
      </c>
      <c r="C24" s="17" t="s">
        <v>1409</v>
      </c>
    </row>
    <row r="25" spans="1:3" x14ac:dyDescent="0.45">
      <c r="A25">
        <v>24</v>
      </c>
      <c r="B25" s="17" t="s">
        <v>1277</v>
      </c>
      <c r="C25" s="17" t="s">
        <v>1231</v>
      </c>
    </row>
    <row r="26" spans="1:3" x14ac:dyDescent="0.45">
      <c r="A26">
        <v>25</v>
      </c>
      <c r="B26" s="17" t="s">
        <v>660</v>
      </c>
      <c r="C26" s="17" t="s">
        <v>1413</v>
      </c>
    </row>
    <row r="27" spans="1:3" x14ac:dyDescent="0.45">
      <c r="A27">
        <v>26</v>
      </c>
      <c r="B27" s="17" t="s">
        <v>1414</v>
      </c>
      <c r="C27" s="17" t="s">
        <v>1282</v>
      </c>
    </row>
    <row r="28" spans="1:3" x14ac:dyDescent="0.45">
      <c r="A28">
        <v>27</v>
      </c>
      <c r="B28" s="17" t="s">
        <v>522</v>
      </c>
      <c r="C28" s="17" t="s">
        <v>1417</v>
      </c>
    </row>
    <row r="29" spans="1:3" x14ac:dyDescent="0.45">
      <c r="A29">
        <v>28</v>
      </c>
      <c r="B29" s="17" t="s">
        <v>1260</v>
      </c>
      <c r="C29" s="17" t="s">
        <v>1436</v>
      </c>
    </row>
    <row r="30" spans="1:3" x14ac:dyDescent="0.45">
      <c r="A30">
        <v>29</v>
      </c>
      <c r="B30" s="17" t="s">
        <v>466</v>
      </c>
      <c r="C30" s="17" t="s">
        <v>1235</v>
      </c>
    </row>
    <row r="31" spans="1:3" x14ac:dyDescent="0.45">
      <c r="A31">
        <v>30</v>
      </c>
      <c r="B31" s="17" t="s">
        <v>1457</v>
      </c>
      <c r="C31" s="17" t="s">
        <v>1458</v>
      </c>
    </row>
    <row r="32" spans="1:3" x14ac:dyDescent="0.45">
      <c r="A32">
        <v>31</v>
      </c>
      <c r="B32" s="17" t="s">
        <v>542</v>
      </c>
      <c r="C32" s="17" t="s">
        <v>1459</v>
      </c>
    </row>
    <row r="33" spans="1:3" x14ac:dyDescent="0.45">
      <c r="A33">
        <v>32</v>
      </c>
      <c r="B33" s="17" t="s">
        <v>1463</v>
      </c>
      <c r="C33" s="17" t="s">
        <v>1437</v>
      </c>
    </row>
    <row r="34" spans="1:3" x14ac:dyDescent="0.45">
      <c r="A34">
        <v>33</v>
      </c>
      <c r="B34" s="17" t="s">
        <v>1291</v>
      </c>
      <c r="C34" s="17" t="s">
        <v>1450</v>
      </c>
    </row>
    <row r="35" spans="1:3" x14ac:dyDescent="0.45">
      <c r="A35">
        <v>34</v>
      </c>
      <c r="B35" s="17" t="s">
        <v>1464</v>
      </c>
      <c r="C35" s="17" t="s">
        <v>1465</v>
      </c>
    </row>
    <row r="36" spans="1:3" x14ac:dyDescent="0.45">
      <c r="A36">
        <v>35</v>
      </c>
      <c r="B36" s="17" t="s">
        <v>319</v>
      </c>
      <c r="C36" s="17" t="s">
        <v>1387</v>
      </c>
    </row>
    <row r="37" spans="1:3" x14ac:dyDescent="0.45">
      <c r="A37">
        <v>36</v>
      </c>
      <c r="B37" s="17" t="s">
        <v>292</v>
      </c>
      <c r="C37" s="17" t="s">
        <v>1287</v>
      </c>
    </row>
    <row r="38" spans="1:3" x14ac:dyDescent="0.45">
      <c r="A38">
        <v>37</v>
      </c>
      <c r="B38" s="17" t="s">
        <v>1214</v>
      </c>
      <c r="C38" s="17" t="s">
        <v>1432</v>
      </c>
    </row>
    <row r="39" spans="1:3" x14ac:dyDescent="0.45">
      <c r="A39">
        <v>38</v>
      </c>
      <c r="B39" s="17" t="s">
        <v>1497</v>
      </c>
      <c r="C39" s="17" t="s">
        <v>1498</v>
      </c>
    </row>
    <row r="40" spans="1:3" x14ac:dyDescent="0.45">
      <c r="A40">
        <v>39</v>
      </c>
      <c r="B40" s="17" t="s">
        <v>1460</v>
      </c>
      <c r="C40" s="17" t="s">
        <v>1473</v>
      </c>
    </row>
    <row r="41" spans="1:3" x14ac:dyDescent="0.45">
      <c r="A41">
        <v>40</v>
      </c>
      <c r="B41" s="17" t="s">
        <v>1363</v>
      </c>
      <c r="C41" s="17" t="s">
        <v>1348</v>
      </c>
    </row>
    <row r="42" spans="1:3" x14ac:dyDescent="0.45">
      <c r="A42">
        <v>41</v>
      </c>
      <c r="B42" s="17" t="s">
        <v>1256</v>
      </c>
      <c r="C42" s="17" t="s">
        <v>1503</v>
      </c>
    </row>
    <row r="43" spans="1:3" x14ac:dyDescent="0.45">
      <c r="A43">
        <v>42</v>
      </c>
      <c r="B43" s="17" t="s">
        <v>1508</v>
      </c>
      <c r="C43" s="17" t="s">
        <v>1509</v>
      </c>
    </row>
    <row r="44" spans="1:3" x14ac:dyDescent="0.45">
      <c r="A44">
        <v>43</v>
      </c>
      <c r="B44" s="17" t="s">
        <v>1232</v>
      </c>
      <c r="C44" s="17" t="s">
        <v>1252</v>
      </c>
    </row>
    <row r="45" spans="1:3" x14ac:dyDescent="0.45">
      <c r="A45">
        <v>44</v>
      </c>
      <c r="B45" s="17" t="s">
        <v>1350</v>
      </c>
      <c r="C45" s="17" t="s">
        <v>1513</v>
      </c>
    </row>
    <row r="46" spans="1:3" x14ac:dyDescent="0.45">
      <c r="A46">
        <v>45</v>
      </c>
      <c r="B46" s="17" t="s">
        <v>1529</v>
      </c>
      <c r="C46" s="17" t="s">
        <v>1530</v>
      </c>
    </row>
    <row r="47" spans="1:3" x14ac:dyDescent="0.45">
      <c r="A47">
        <v>46</v>
      </c>
      <c r="B47" s="17" t="s">
        <v>1324</v>
      </c>
      <c r="C47" s="17" t="s">
        <v>117</v>
      </c>
    </row>
    <row r="48" spans="1:3" x14ac:dyDescent="0.45">
      <c r="A48">
        <v>47</v>
      </c>
      <c r="B48" s="17" t="s">
        <v>912</v>
      </c>
      <c r="C48" s="17" t="s">
        <v>1441</v>
      </c>
    </row>
    <row r="49" spans="1:3" x14ac:dyDescent="0.45">
      <c r="A49">
        <v>48</v>
      </c>
      <c r="B49" s="17" t="s">
        <v>1326</v>
      </c>
      <c r="C49" s="17" t="s">
        <v>1438</v>
      </c>
    </row>
    <row r="50" spans="1:3" x14ac:dyDescent="0.45">
      <c r="A50">
        <v>49</v>
      </c>
      <c r="B50" s="17" t="s">
        <v>542</v>
      </c>
      <c r="C50" s="17" t="s">
        <v>1358</v>
      </c>
    </row>
    <row r="51" spans="1:3" x14ac:dyDescent="0.45">
      <c r="A51">
        <v>50</v>
      </c>
      <c r="B51" s="17" t="s">
        <v>1254</v>
      </c>
      <c r="C51" s="17" t="s">
        <v>1255</v>
      </c>
    </row>
    <row r="52" spans="1:3" x14ac:dyDescent="0.45">
      <c r="A52">
        <v>51</v>
      </c>
      <c r="B52" s="17" t="s">
        <v>1546</v>
      </c>
      <c r="C52" s="17" t="s">
        <v>1533</v>
      </c>
    </row>
    <row r="53" spans="1:3" x14ac:dyDescent="0.45">
      <c r="A53">
        <v>52</v>
      </c>
      <c r="B53" s="17" t="s">
        <v>1529</v>
      </c>
      <c r="C53" s="17" t="s">
        <v>88</v>
      </c>
    </row>
    <row r="54" spans="1:3" x14ac:dyDescent="0.45">
      <c r="A54">
        <v>53</v>
      </c>
      <c r="B54" s="17" t="s">
        <v>1086</v>
      </c>
      <c r="C54" s="17" t="s">
        <v>1329</v>
      </c>
    </row>
    <row r="55" spans="1:3" x14ac:dyDescent="0.45">
      <c r="A55">
        <v>54</v>
      </c>
      <c r="B55" s="17" t="s">
        <v>1241</v>
      </c>
      <c r="C55" s="17" t="s">
        <v>1560</v>
      </c>
    </row>
    <row r="56" spans="1:3" x14ac:dyDescent="0.45">
      <c r="A56">
        <v>55</v>
      </c>
      <c r="B56" s="17" t="s">
        <v>1457</v>
      </c>
      <c r="C56" s="17" t="s">
        <v>1488</v>
      </c>
    </row>
    <row r="57" spans="1:3" x14ac:dyDescent="0.45">
      <c r="A57">
        <v>56</v>
      </c>
      <c r="B57" s="17" t="s">
        <v>319</v>
      </c>
      <c r="C57" s="17" t="s">
        <v>1450</v>
      </c>
    </row>
    <row r="58" spans="1:3" x14ac:dyDescent="0.45">
      <c r="A58">
        <v>57</v>
      </c>
      <c r="B58" s="17" t="s">
        <v>1371</v>
      </c>
      <c r="C58" s="17" t="s">
        <v>1400</v>
      </c>
    </row>
    <row r="59" spans="1:3" x14ac:dyDescent="0.45">
      <c r="A59">
        <v>58</v>
      </c>
      <c r="B59" s="17" t="s">
        <v>759</v>
      </c>
      <c r="C59" s="17" t="s">
        <v>1551</v>
      </c>
    </row>
    <row r="60" spans="1:3" x14ac:dyDescent="0.45">
      <c r="A60">
        <v>59</v>
      </c>
      <c r="B60" s="13" t="s">
        <v>660</v>
      </c>
      <c r="C60" s="13" t="s">
        <v>1366</v>
      </c>
    </row>
    <row r="61" spans="1:3" x14ac:dyDescent="0.45">
      <c r="A61">
        <v>60</v>
      </c>
      <c r="B61" s="13" t="s">
        <v>759</v>
      </c>
      <c r="C61" s="13" t="s">
        <v>1576</v>
      </c>
    </row>
    <row r="62" spans="1:3" x14ac:dyDescent="0.45">
      <c r="A62">
        <v>61</v>
      </c>
      <c r="B62" s="13" t="s">
        <v>1431</v>
      </c>
      <c r="C62" s="13" t="s">
        <v>1478</v>
      </c>
    </row>
    <row r="63" spans="1:3" x14ac:dyDescent="0.45">
      <c r="A63">
        <v>62</v>
      </c>
      <c r="B63" s="13" t="s">
        <v>1211</v>
      </c>
      <c r="C63" s="13" t="s">
        <v>1473</v>
      </c>
    </row>
    <row r="64" spans="1:3" x14ac:dyDescent="0.45">
      <c r="A64">
        <v>63</v>
      </c>
      <c r="B64" s="17" t="s">
        <v>1270</v>
      </c>
      <c r="C64" s="17" t="s">
        <v>1351</v>
      </c>
    </row>
    <row r="65" spans="2:3" x14ac:dyDescent="0.45">
      <c r="B65" s="34" t="s">
        <v>742</v>
      </c>
      <c r="C65" s="34" t="s">
        <v>1594</v>
      </c>
    </row>
    <row r="66" spans="2:3" x14ac:dyDescent="0.45">
      <c r="B66" s="34" t="s">
        <v>1292</v>
      </c>
      <c r="C66" s="34" t="s">
        <v>1576</v>
      </c>
    </row>
    <row r="67" spans="2:3" x14ac:dyDescent="0.45">
      <c r="B67" s="34" t="s">
        <v>511</v>
      </c>
      <c r="C67" s="34" t="s">
        <v>1493</v>
      </c>
    </row>
    <row r="68" spans="2:3" x14ac:dyDescent="0.45">
      <c r="B68" s="34" t="s">
        <v>1366</v>
      </c>
      <c r="C68" s="34" t="s">
        <v>1558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072E8-FEBB-4C77-81EF-652096BDC46F}">
  <sheetPr codeName="Feuil9"/>
  <dimension ref="A1:E64"/>
  <sheetViews>
    <sheetView workbookViewId="0">
      <pane ySplit="1" topLeftCell="A2" activePane="bottomLeft" state="frozen"/>
      <selection pane="bottomLeft" sqref="A1:XFD1"/>
    </sheetView>
  </sheetViews>
  <sheetFormatPr defaultColWidth="10.6640625" defaultRowHeight="14.25" x14ac:dyDescent="0.45"/>
  <cols>
    <col min="3" max="3" width="24.1328125" customWidth="1"/>
  </cols>
  <sheetData>
    <row r="1" spans="1:5" x14ac:dyDescent="0.45">
      <c r="A1" s="1" t="s">
        <v>1188</v>
      </c>
      <c r="B1" s="1" t="s">
        <v>9</v>
      </c>
      <c r="C1" s="1" t="s">
        <v>10</v>
      </c>
      <c r="D1" s="1" t="s">
        <v>1186</v>
      </c>
      <c r="E1" s="1" t="s">
        <v>1187</v>
      </c>
    </row>
    <row r="2" spans="1:5" x14ac:dyDescent="0.45">
      <c r="A2">
        <v>1</v>
      </c>
      <c r="B2" s="17" t="s">
        <v>1243</v>
      </c>
      <c r="C2" s="17" t="s">
        <v>1244</v>
      </c>
    </row>
    <row r="3" spans="1:5" x14ac:dyDescent="0.45">
      <c r="A3">
        <v>2</v>
      </c>
      <c r="B3" s="17" t="s">
        <v>1302</v>
      </c>
      <c r="C3" s="17" t="s">
        <v>1303</v>
      </c>
    </row>
    <row r="4" spans="1:5" x14ac:dyDescent="0.45">
      <c r="A4">
        <v>3</v>
      </c>
      <c r="B4" s="17" t="s">
        <v>522</v>
      </c>
      <c r="C4" s="17" t="s">
        <v>1312</v>
      </c>
    </row>
    <row r="5" spans="1:5" x14ac:dyDescent="0.45">
      <c r="A5">
        <v>4</v>
      </c>
      <c r="B5" s="17" t="s">
        <v>1337</v>
      </c>
      <c r="C5" s="17" t="s">
        <v>1250</v>
      </c>
    </row>
    <row r="6" spans="1:5" x14ac:dyDescent="0.45">
      <c r="A6">
        <v>5</v>
      </c>
      <c r="B6" s="17" t="s">
        <v>1279</v>
      </c>
      <c r="C6" s="17" t="s">
        <v>1341</v>
      </c>
    </row>
    <row r="7" spans="1:5" x14ac:dyDescent="0.45">
      <c r="A7">
        <v>6</v>
      </c>
      <c r="B7" s="17" t="s">
        <v>1342</v>
      </c>
      <c r="C7" s="17" t="s">
        <v>1271</v>
      </c>
    </row>
    <row r="8" spans="1:5" x14ac:dyDescent="0.45">
      <c r="A8">
        <v>7</v>
      </c>
      <c r="B8" s="17" t="s">
        <v>1343</v>
      </c>
      <c r="C8" s="17" t="s">
        <v>1344</v>
      </c>
    </row>
    <row r="9" spans="1:5" x14ac:dyDescent="0.45">
      <c r="A9">
        <v>8</v>
      </c>
      <c r="B9" s="17" t="s">
        <v>1355</v>
      </c>
      <c r="C9" s="17" t="s">
        <v>105</v>
      </c>
    </row>
    <row r="10" spans="1:5" x14ac:dyDescent="0.45">
      <c r="A10">
        <v>9</v>
      </c>
      <c r="B10" s="17" t="s">
        <v>1373</v>
      </c>
      <c r="C10" s="17" t="s">
        <v>1374</v>
      </c>
    </row>
    <row r="11" spans="1:5" x14ac:dyDescent="0.45">
      <c r="A11">
        <v>10</v>
      </c>
      <c r="B11" s="17" t="s">
        <v>1136</v>
      </c>
      <c r="C11" s="17" t="s">
        <v>1385</v>
      </c>
    </row>
    <row r="12" spans="1:5" x14ac:dyDescent="0.45">
      <c r="A12">
        <v>11</v>
      </c>
      <c r="B12" s="17" t="s">
        <v>1386</v>
      </c>
      <c r="C12" s="17" t="s">
        <v>1387</v>
      </c>
    </row>
    <row r="13" spans="1:5" x14ac:dyDescent="0.45">
      <c r="A13">
        <v>12</v>
      </c>
      <c r="B13" s="17" t="s">
        <v>1324</v>
      </c>
      <c r="C13" s="17" t="s">
        <v>881</v>
      </c>
    </row>
    <row r="14" spans="1:5" x14ac:dyDescent="0.45">
      <c r="A14">
        <v>13</v>
      </c>
      <c r="B14" s="17" t="s">
        <v>1343</v>
      </c>
      <c r="C14" s="17" t="s">
        <v>1401</v>
      </c>
    </row>
    <row r="15" spans="1:5" x14ac:dyDescent="0.45">
      <c r="A15">
        <v>14</v>
      </c>
      <c r="B15" s="17" t="s">
        <v>1342</v>
      </c>
      <c r="C15" s="17" t="s">
        <v>1404</v>
      </c>
    </row>
    <row r="16" spans="1:5" x14ac:dyDescent="0.45">
      <c r="A16">
        <v>15</v>
      </c>
      <c r="B16" s="17" t="s">
        <v>1318</v>
      </c>
      <c r="C16" s="17" t="s">
        <v>1363</v>
      </c>
    </row>
    <row r="17" spans="1:3" x14ac:dyDescent="0.45">
      <c r="A17">
        <v>16</v>
      </c>
      <c r="B17" s="17" t="s">
        <v>1411</v>
      </c>
      <c r="C17" s="17" t="s">
        <v>402</v>
      </c>
    </row>
    <row r="18" spans="1:3" x14ac:dyDescent="0.45">
      <c r="A18">
        <v>17</v>
      </c>
      <c r="B18" s="17" t="s">
        <v>1420</v>
      </c>
      <c r="C18" s="17" t="s">
        <v>1421</v>
      </c>
    </row>
    <row r="19" spans="1:3" x14ac:dyDescent="0.45">
      <c r="A19">
        <v>18</v>
      </c>
      <c r="B19" s="17" t="s">
        <v>1414</v>
      </c>
      <c r="C19" s="17" t="s">
        <v>1351</v>
      </c>
    </row>
    <row r="20" spans="1:3" x14ac:dyDescent="0.45">
      <c r="A20">
        <v>19</v>
      </c>
      <c r="B20" s="17" t="s">
        <v>820</v>
      </c>
      <c r="C20" s="17" t="s">
        <v>1439</v>
      </c>
    </row>
    <row r="21" spans="1:3" x14ac:dyDescent="0.45">
      <c r="A21">
        <v>20</v>
      </c>
      <c r="B21" s="17" t="s">
        <v>1469</v>
      </c>
      <c r="C21" s="17" t="s">
        <v>1322</v>
      </c>
    </row>
    <row r="22" spans="1:3" x14ac:dyDescent="0.45">
      <c r="A22">
        <v>21</v>
      </c>
      <c r="B22" s="17" t="s">
        <v>1086</v>
      </c>
      <c r="C22" s="17" t="s">
        <v>1476</v>
      </c>
    </row>
    <row r="23" spans="1:3" x14ac:dyDescent="0.45">
      <c r="A23">
        <v>22</v>
      </c>
      <c r="B23" s="17" t="s">
        <v>269</v>
      </c>
      <c r="C23" s="17" t="s">
        <v>1464</v>
      </c>
    </row>
    <row r="24" spans="1:3" x14ac:dyDescent="0.45">
      <c r="A24">
        <v>23</v>
      </c>
      <c r="B24" s="17" t="s">
        <v>1236</v>
      </c>
      <c r="C24" s="17" t="s">
        <v>1486</v>
      </c>
    </row>
    <row r="25" spans="1:3" x14ac:dyDescent="0.45">
      <c r="A25">
        <v>24</v>
      </c>
      <c r="B25" s="17" t="s">
        <v>511</v>
      </c>
      <c r="C25" s="17" t="s">
        <v>1272</v>
      </c>
    </row>
    <row r="26" spans="1:3" x14ac:dyDescent="0.45">
      <c r="A26">
        <v>25</v>
      </c>
      <c r="B26" s="17" t="s">
        <v>1136</v>
      </c>
      <c r="C26" s="17" t="s">
        <v>1492</v>
      </c>
    </row>
    <row r="27" spans="1:3" x14ac:dyDescent="0.45">
      <c r="A27">
        <v>26</v>
      </c>
      <c r="B27" s="17" t="s">
        <v>466</v>
      </c>
      <c r="C27" s="17" t="s">
        <v>1404</v>
      </c>
    </row>
    <row r="28" spans="1:3" x14ac:dyDescent="0.45">
      <c r="A28">
        <v>27</v>
      </c>
      <c r="B28" s="17" t="s">
        <v>1241</v>
      </c>
      <c r="C28" s="17" t="s">
        <v>1499</v>
      </c>
    </row>
    <row r="29" spans="1:3" x14ac:dyDescent="0.45">
      <c r="A29">
        <v>28</v>
      </c>
      <c r="B29" s="17" t="s">
        <v>1396</v>
      </c>
      <c r="C29" s="17" t="s">
        <v>1212</v>
      </c>
    </row>
    <row r="30" spans="1:3" x14ac:dyDescent="0.45">
      <c r="A30">
        <v>29</v>
      </c>
      <c r="B30" s="17" t="s">
        <v>1150</v>
      </c>
      <c r="C30" s="17" t="s">
        <v>1504</v>
      </c>
    </row>
    <row r="31" spans="1:3" x14ac:dyDescent="0.45">
      <c r="A31">
        <v>30</v>
      </c>
      <c r="B31" s="17" t="s">
        <v>1373</v>
      </c>
      <c r="C31" s="17" t="s">
        <v>679</v>
      </c>
    </row>
    <row r="32" spans="1:3" x14ac:dyDescent="0.45">
      <c r="A32">
        <v>31</v>
      </c>
      <c r="B32" s="17" t="s">
        <v>1518</v>
      </c>
      <c r="C32" s="17" t="s">
        <v>1503</v>
      </c>
    </row>
    <row r="33" spans="1:3" x14ac:dyDescent="0.45">
      <c r="A33">
        <v>32</v>
      </c>
      <c r="B33" s="17" t="s">
        <v>1230</v>
      </c>
      <c r="C33" s="17" t="s">
        <v>1521</v>
      </c>
    </row>
    <row r="34" spans="1:3" x14ac:dyDescent="0.45">
      <c r="A34">
        <v>33</v>
      </c>
      <c r="B34" s="17" t="s">
        <v>1494</v>
      </c>
      <c r="C34" s="17" t="s">
        <v>1492</v>
      </c>
    </row>
    <row r="35" spans="1:3" x14ac:dyDescent="0.45">
      <c r="A35">
        <v>34</v>
      </c>
      <c r="B35" s="17" t="s">
        <v>1307</v>
      </c>
      <c r="C35" s="17" t="s">
        <v>1527</v>
      </c>
    </row>
    <row r="36" spans="1:3" x14ac:dyDescent="0.45">
      <c r="A36">
        <v>35</v>
      </c>
      <c r="B36" s="17" t="s">
        <v>233</v>
      </c>
      <c r="C36" s="17" t="s">
        <v>1534</v>
      </c>
    </row>
    <row r="37" spans="1:3" x14ac:dyDescent="0.45">
      <c r="A37">
        <v>36</v>
      </c>
      <c r="B37" s="17" t="s">
        <v>1500</v>
      </c>
      <c r="C37" s="17" t="s">
        <v>1537</v>
      </c>
    </row>
    <row r="38" spans="1:3" x14ac:dyDescent="0.45">
      <c r="A38">
        <v>37</v>
      </c>
      <c r="B38" s="17" t="s">
        <v>1327</v>
      </c>
      <c r="C38" s="17" t="s">
        <v>1311</v>
      </c>
    </row>
    <row r="39" spans="1:3" x14ac:dyDescent="0.45">
      <c r="A39">
        <v>38</v>
      </c>
      <c r="B39" s="17" t="s">
        <v>542</v>
      </c>
      <c r="C39" s="17" t="s">
        <v>1486</v>
      </c>
    </row>
    <row r="40" spans="1:3" x14ac:dyDescent="0.45">
      <c r="A40">
        <v>39</v>
      </c>
      <c r="B40" s="17" t="s">
        <v>1542</v>
      </c>
      <c r="C40" s="17" t="s">
        <v>1543</v>
      </c>
    </row>
    <row r="41" spans="1:3" x14ac:dyDescent="0.45">
      <c r="A41">
        <v>40</v>
      </c>
      <c r="B41" s="17" t="s">
        <v>1497</v>
      </c>
      <c r="C41" s="17" t="s">
        <v>1549</v>
      </c>
    </row>
    <row r="42" spans="1:3" x14ac:dyDescent="0.45">
      <c r="A42">
        <v>41</v>
      </c>
      <c r="B42" s="17" t="s">
        <v>1463</v>
      </c>
      <c r="C42" s="17" t="s">
        <v>1229</v>
      </c>
    </row>
    <row r="43" spans="1:3" x14ac:dyDescent="0.45">
      <c r="A43">
        <v>42</v>
      </c>
      <c r="B43" s="17" t="s">
        <v>1487</v>
      </c>
      <c r="C43" s="17" t="s">
        <v>1559</v>
      </c>
    </row>
    <row r="44" spans="1:3" x14ac:dyDescent="0.45">
      <c r="A44">
        <v>43</v>
      </c>
      <c r="B44" s="17" t="s">
        <v>246</v>
      </c>
      <c r="C44" s="17" t="s">
        <v>1274</v>
      </c>
    </row>
    <row r="45" spans="1:3" x14ac:dyDescent="0.45">
      <c r="A45">
        <v>44</v>
      </c>
      <c r="B45" s="17" t="s">
        <v>233</v>
      </c>
      <c r="C45" s="17" t="s">
        <v>1565</v>
      </c>
    </row>
    <row r="46" spans="1:3" x14ac:dyDescent="0.45">
      <c r="A46">
        <v>45</v>
      </c>
      <c r="B46" s="17" t="s">
        <v>1566</v>
      </c>
      <c r="C46" s="17" t="s">
        <v>1525</v>
      </c>
    </row>
    <row r="47" spans="1:3" x14ac:dyDescent="0.45">
      <c r="A47">
        <v>46</v>
      </c>
      <c r="B47" s="17" t="s">
        <v>1567</v>
      </c>
      <c r="C47" s="17" t="s">
        <v>1524</v>
      </c>
    </row>
    <row r="48" spans="1:3" x14ac:dyDescent="0.45">
      <c r="A48">
        <v>47</v>
      </c>
      <c r="B48" s="17" t="s">
        <v>50</v>
      </c>
      <c r="C48" s="17" t="s">
        <v>1227</v>
      </c>
    </row>
    <row r="49" spans="1:3" x14ac:dyDescent="0.45">
      <c r="A49">
        <v>48</v>
      </c>
      <c r="B49" s="17" t="s">
        <v>1290</v>
      </c>
      <c r="C49" s="17" t="s">
        <v>1409</v>
      </c>
    </row>
    <row r="50" spans="1:3" x14ac:dyDescent="0.45">
      <c r="A50">
        <v>49</v>
      </c>
      <c r="B50" s="17" t="s">
        <v>269</v>
      </c>
      <c r="C50" s="17" t="s">
        <v>1466</v>
      </c>
    </row>
    <row r="51" spans="1:3" x14ac:dyDescent="0.45">
      <c r="A51">
        <v>50</v>
      </c>
      <c r="B51" s="17" t="s">
        <v>511</v>
      </c>
      <c r="C51" s="17" t="s">
        <v>1581</v>
      </c>
    </row>
    <row r="52" spans="1:3" x14ac:dyDescent="0.45">
      <c r="A52">
        <v>51</v>
      </c>
      <c r="B52" s="17" t="s">
        <v>1236</v>
      </c>
      <c r="C52" s="17" t="s">
        <v>1582</v>
      </c>
    </row>
    <row r="53" spans="1:3" x14ac:dyDescent="0.45">
      <c r="A53">
        <v>52</v>
      </c>
      <c r="B53" s="17" t="s">
        <v>1567</v>
      </c>
      <c r="C53" s="17" t="s">
        <v>1447</v>
      </c>
    </row>
    <row r="54" spans="1:3" x14ac:dyDescent="0.45">
      <c r="A54">
        <v>53</v>
      </c>
      <c r="B54" s="17" t="s">
        <v>1586</v>
      </c>
      <c r="C54" s="17" t="s">
        <v>1505</v>
      </c>
    </row>
    <row r="55" spans="1:3" x14ac:dyDescent="0.45">
      <c r="A55">
        <v>54</v>
      </c>
      <c r="B55" s="17" t="s">
        <v>1411</v>
      </c>
      <c r="C55" s="17" t="s">
        <v>1225</v>
      </c>
    </row>
    <row r="56" spans="1:3" x14ac:dyDescent="0.45">
      <c r="A56">
        <v>55</v>
      </c>
      <c r="B56" s="17" t="s">
        <v>1535</v>
      </c>
      <c r="C56" s="17" t="s">
        <v>1282</v>
      </c>
    </row>
    <row r="57" spans="1:3" x14ac:dyDescent="0.45">
      <c r="A57">
        <v>56</v>
      </c>
      <c r="B57" s="17" t="s">
        <v>1373</v>
      </c>
      <c r="C57" s="17" t="s">
        <v>105</v>
      </c>
    </row>
    <row r="58" spans="1:3" x14ac:dyDescent="0.45">
      <c r="A58">
        <v>57</v>
      </c>
      <c r="B58" s="13" t="s">
        <v>511</v>
      </c>
      <c r="C58" s="13" t="s">
        <v>1485</v>
      </c>
    </row>
    <row r="59" spans="1:3" x14ac:dyDescent="0.45">
      <c r="A59">
        <v>58</v>
      </c>
      <c r="B59" s="13" t="s">
        <v>1546</v>
      </c>
      <c r="C59" s="13" t="s">
        <v>1597</v>
      </c>
    </row>
    <row r="60" spans="1:3" x14ac:dyDescent="0.45">
      <c r="A60">
        <v>59</v>
      </c>
      <c r="B60" s="17" t="s">
        <v>1226</v>
      </c>
      <c r="C60" s="17" t="s">
        <v>1600</v>
      </c>
    </row>
    <row r="61" spans="1:3" x14ac:dyDescent="0.45">
      <c r="A61">
        <v>60</v>
      </c>
      <c r="B61" s="17" t="s">
        <v>1561</v>
      </c>
      <c r="C61" s="17" t="s">
        <v>1417</v>
      </c>
    </row>
    <row r="62" spans="1:3" x14ac:dyDescent="0.45">
      <c r="A62">
        <v>61</v>
      </c>
      <c r="B62" s="17"/>
      <c r="C62" s="17"/>
    </row>
    <row r="63" spans="1:3" x14ac:dyDescent="0.45">
      <c r="A63">
        <v>62</v>
      </c>
      <c r="B63" s="13"/>
      <c r="C63" s="13"/>
    </row>
    <row r="64" spans="1:3" x14ac:dyDescent="0.45">
      <c r="A64">
        <v>63</v>
      </c>
      <c r="B64" s="13"/>
      <c r="C64" s="13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507A1-D559-4791-B233-EF84A80E9336}">
  <sheetPr codeName="Feuil10"/>
  <dimension ref="A1:E74"/>
  <sheetViews>
    <sheetView workbookViewId="0">
      <pane ySplit="1" topLeftCell="A2" activePane="bottomLeft" state="frozen"/>
      <selection pane="bottomLeft" sqref="A1:XFD1"/>
    </sheetView>
  </sheetViews>
  <sheetFormatPr defaultColWidth="10.6640625" defaultRowHeight="14.25" x14ac:dyDescent="0.45"/>
  <cols>
    <col min="3" max="3" width="24.1328125" customWidth="1"/>
  </cols>
  <sheetData>
    <row r="1" spans="1:5" x14ac:dyDescent="0.45">
      <c r="A1" s="1" t="s">
        <v>1188</v>
      </c>
      <c r="B1" s="1" t="s">
        <v>9</v>
      </c>
      <c r="C1" s="1" t="s">
        <v>10</v>
      </c>
      <c r="D1" s="1" t="s">
        <v>1186</v>
      </c>
      <c r="E1" s="1" t="s">
        <v>1187</v>
      </c>
    </row>
    <row r="2" spans="1:5" x14ac:dyDescent="0.45">
      <c r="A2">
        <v>1</v>
      </c>
      <c r="B2" s="17" t="s">
        <v>1230</v>
      </c>
      <c r="C2" s="17" t="s">
        <v>1231</v>
      </c>
    </row>
    <row r="3" spans="1:5" x14ac:dyDescent="0.45">
      <c r="A3">
        <v>2</v>
      </c>
      <c r="B3" s="17" t="s">
        <v>1234</v>
      </c>
      <c r="C3" s="17" t="s">
        <v>1235</v>
      </c>
    </row>
    <row r="4" spans="1:5" x14ac:dyDescent="0.45">
      <c r="A4">
        <v>3</v>
      </c>
      <c r="B4" s="17" t="s">
        <v>742</v>
      </c>
      <c r="C4" s="17" t="s">
        <v>1246</v>
      </c>
    </row>
    <row r="5" spans="1:5" x14ac:dyDescent="0.45">
      <c r="A5">
        <v>4</v>
      </c>
      <c r="B5" s="17" t="s">
        <v>1267</v>
      </c>
      <c r="C5" s="17" t="s">
        <v>1268</v>
      </c>
    </row>
    <row r="6" spans="1:5" x14ac:dyDescent="0.45">
      <c r="A6">
        <v>5</v>
      </c>
      <c r="B6" s="17" t="s">
        <v>1281</v>
      </c>
      <c r="C6" s="17" t="s">
        <v>1282</v>
      </c>
    </row>
    <row r="7" spans="1:5" x14ac:dyDescent="0.45">
      <c r="A7">
        <v>6</v>
      </c>
      <c r="B7" s="17" t="s">
        <v>912</v>
      </c>
      <c r="C7" s="17" t="s">
        <v>1297</v>
      </c>
    </row>
    <row r="8" spans="1:5" x14ac:dyDescent="0.45">
      <c r="A8">
        <v>7</v>
      </c>
      <c r="B8" s="17" t="s">
        <v>1300</v>
      </c>
      <c r="C8" s="17" t="s">
        <v>1301</v>
      </c>
    </row>
    <row r="9" spans="1:5" x14ac:dyDescent="0.45">
      <c r="A9">
        <v>8</v>
      </c>
      <c r="B9" s="17" t="s">
        <v>1256</v>
      </c>
      <c r="C9" s="17" t="s">
        <v>1332</v>
      </c>
    </row>
    <row r="10" spans="1:5" x14ac:dyDescent="0.45">
      <c r="A10">
        <v>9</v>
      </c>
      <c r="B10" s="17" t="s">
        <v>1338</v>
      </c>
      <c r="C10" s="17" t="s">
        <v>1339</v>
      </c>
    </row>
    <row r="11" spans="1:5" x14ac:dyDescent="0.45">
      <c r="A11">
        <v>10</v>
      </c>
      <c r="B11" s="17" t="s">
        <v>1323</v>
      </c>
      <c r="C11" s="17" t="s">
        <v>1347</v>
      </c>
    </row>
    <row r="12" spans="1:5" x14ac:dyDescent="0.45">
      <c r="A12">
        <v>11</v>
      </c>
      <c r="B12" s="17" t="s">
        <v>246</v>
      </c>
      <c r="C12" s="17" t="s">
        <v>1349</v>
      </c>
    </row>
    <row r="13" spans="1:5" x14ac:dyDescent="0.45">
      <c r="A13">
        <v>12</v>
      </c>
      <c r="B13" s="17" t="s">
        <v>1223</v>
      </c>
      <c r="C13" s="17" t="s">
        <v>1358</v>
      </c>
    </row>
    <row r="14" spans="1:5" x14ac:dyDescent="0.45">
      <c r="A14">
        <v>13</v>
      </c>
      <c r="B14" s="17" t="s">
        <v>246</v>
      </c>
      <c r="C14" s="17" t="s">
        <v>1390</v>
      </c>
    </row>
    <row r="15" spans="1:5" x14ac:dyDescent="0.45">
      <c r="A15">
        <v>14</v>
      </c>
      <c r="B15" s="17" t="s">
        <v>319</v>
      </c>
      <c r="C15" s="17" t="s">
        <v>1393</v>
      </c>
    </row>
    <row r="16" spans="1:5" x14ac:dyDescent="0.45">
      <c r="A16">
        <v>15</v>
      </c>
      <c r="B16" s="17" t="s">
        <v>1402</v>
      </c>
      <c r="C16" s="17" t="s">
        <v>1403</v>
      </c>
    </row>
    <row r="17" spans="1:3" x14ac:dyDescent="0.45">
      <c r="A17">
        <v>16</v>
      </c>
      <c r="B17" s="17" t="s">
        <v>292</v>
      </c>
      <c r="C17" s="17" t="s">
        <v>1251</v>
      </c>
    </row>
    <row r="18" spans="1:3" x14ac:dyDescent="0.45">
      <c r="A18">
        <v>17</v>
      </c>
      <c r="B18" s="17" t="s">
        <v>1423</v>
      </c>
      <c r="C18" s="17" t="s">
        <v>1217</v>
      </c>
    </row>
    <row r="19" spans="1:3" x14ac:dyDescent="0.45">
      <c r="A19">
        <v>18</v>
      </c>
      <c r="B19" s="17" t="s">
        <v>188</v>
      </c>
      <c r="C19" s="17" t="s">
        <v>1434</v>
      </c>
    </row>
    <row r="20" spans="1:3" x14ac:dyDescent="0.45">
      <c r="A20">
        <v>19</v>
      </c>
      <c r="B20" s="17" t="s">
        <v>431</v>
      </c>
      <c r="C20" s="17" t="s">
        <v>1435</v>
      </c>
    </row>
    <row r="21" spans="1:3" x14ac:dyDescent="0.45">
      <c r="A21">
        <v>20</v>
      </c>
      <c r="B21" s="17" t="s">
        <v>1307</v>
      </c>
      <c r="C21" s="17" t="s">
        <v>1276</v>
      </c>
    </row>
    <row r="22" spans="1:3" x14ac:dyDescent="0.45">
      <c r="A22">
        <v>21</v>
      </c>
      <c r="B22" s="17" t="s">
        <v>1258</v>
      </c>
      <c r="C22" s="17" t="s">
        <v>1385</v>
      </c>
    </row>
    <row r="23" spans="1:3" x14ac:dyDescent="0.45">
      <c r="A23">
        <v>22</v>
      </c>
      <c r="B23" s="17" t="s">
        <v>193</v>
      </c>
      <c r="C23" s="17" t="s">
        <v>767</v>
      </c>
    </row>
    <row r="24" spans="1:3" x14ac:dyDescent="0.45">
      <c r="A24">
        <v>23</v>
      </c>
      <c r="B24" s="17" t="s">
        <v>1355</v>
      </c>
      <c r="C24" s="17" t="s">
        <v>1467</v>
      </c>
    </row>
    <row r="25" spans="1:3" x14ac:dyDescent="0.45">
      <c r="A25">
        <v>24</v>
      </c>
      <c r="B25" s="17" t="s">
        <v>1470</v>
      </c>
      <c r="C25" s="17" t="s">
        <v>1471</v>
      </c>
    </row>
    <row r="26" spans="1:3" x14ac:dyDescent="0.45">
      <c r="A26">
        <v>25</v>
      </c>
      <c r="B26" s="17" t="s">
        <v>1325</v>
      </c>
      <c r="C26" s="17" t="s">
        <v>1332</v>
      </c>
    </row>
    <row r="27" spans="1:3" x14ac:dyDescent="0.45">
      <c r="A27">
        <v>26</v>
      </c>
      <c r="B27" s="17" t="s">
        <v>1345</v>
      </c>
      <c r="C27" s="17" t="s">
        <v>1477</v>
      </c>
    </row>
    <row r="28" spans="1:3" x14ac:dyDescent="0.45">
      <c r="A28">
        <v>27</v>
      </c>
      <c r="B28" s="17" t="s">
        <v>1482</v>
      </c>
      <c r="C28" s="17" t="s">
        <v>1409</v>
      </c>
    </row>
    <row r="29" spans="1:3" x14ac:dyDescent="0.45">
      <c r="A29">
        <v>28</v>
      </c>
      <c r="B29" s="17" t="s">
        <v>1211</v>
      </c>
      <c r="C29" s="17" t="s">
        <v>1220</v>
      </c>
    </row>
    <row r="30" spans="1:3" x14ac:dyDescent="0.45">
      <c r="A30">
        <v>29</v>
      </c>
      <c r="B30" s="17" t="s">
        <v>1333</v>
      </c>
      <c r="C30" s="17" t="s">
        <v>1143</v>
      </c>
    </row>
    <row r="31" spans="1:3" x14ac:dyDescent="0.45">
      <c r="A31">
        <v>30</v>
      </c>
      <c r="B31" s="17" t="s">
        <v>1494</v>
      </c>
      <c r="C31" s="17" t="s">
        <v>1495</v>
      </c>
    </row>
    <row r="32" spans="1:3" x14ac:dyDescent="0.45">
      <c r="A32">
        <v>31</v>
      </c>
      <c r="B32" s="17" t="s">
        <v>262</v>
      </c>
      <c r="C32" s="17" t="s">
        <v>1486</v>
      </c>
    </row>
    <row r="33" spans="1:3" x14ac:dyDescent="0.45">
      <c r="A33">
        <v>32</v>
      </c>
      <c r="B33" s="17" t="s">
        <v>759</v>
      </c>
      <c r="C33" s="17" t="s">
        <v>1450</v>
      </c>
    </row>
    <row r="34" spans="1:3" x14ac:dyDescent="0.45">
      <c r="A34">
        <v>33</v>
      </c>
      <c r="B34" s="17" t="s">
        <v>1136</v>
      </c>
      <c r="C34" s="17" t="s">
        <v>1516</v>
      </c>
    </row>
    <row r="35" spans="1:3" x14ac:dyDescent="0.45">
      <c r="A35">
        <v>34</v>
      </c>
      <c r="B35" s="17" t="s">
        <v>742</v>
      </c>
      <c r="C35" s="17" t="s">
        <v>1519</v>
      </c>
    </row>
    <row r="36" spans="1:3" x14ac:dyDescent="0.45">
      <c r="A36">
        <v>35</v>
      </c>
      <c r="B36" s="17" t="s">
        <v>1502</v>
      </c>
      <c r="C36" s="17" t="s">
        <v>1438</v>
      </c>
    </row>
    <row r="37" spans="1:3" x14ac:dyDescent="0.45">
      <c r="A37">
        <v>36</v>
      </c>
      <c r="B37" s="17" t="s">
        <v>206</v>
      </c>
      <c r="C37" s="17" t="s">
        <v>1531</v>
      </c>
    </row>
    <row r="38" spans="1:3" x14ac:dyDescent="0.45">
      <c r="A38">
        <v>37</v>
      </c>
      <c r="B38" s="17" t="s">
        <v>473</v>
      </c>
      <c r="C38" s="17" t="s">
        <v>1347</v>
      </c>
    </row>
    <row r="39" spans="1:3" x14ac:dyDescent="0.45">
      <c r="A39">
        <v>38</v>
      </c>
      <c r="B39" s="17" t="s">
        <v>1273</v>
      </c>
      <c r="C39" s="17" t="s">
        <v>881</v>
      </c>
    </row>
    <row r="40" spans="1:3" x14ac:dyDescent="0.45">
      <c r="A40">
        <v>39</v>
      </c>
      <c r="B40" s="17" t="s">
        <v>1423</v>
      </c>
      <c r="C40" s="17" t="s">
        <v>1229</v>
      </c>
    </row>
    <row r="41" spans="1:3" x14ac:dyDescent="0.45">
      <c r="A41">
        <v>40</v>
      </c>
      <c r="B41" s="17" t="s">
        <v>1291</v>
      </c>
      <c r="C41" s="17" t="s">
        <v>1233</v>
      </c>
    </row>
    <row r="42" spans="1:3" x14ac:dyDescent="0.45">
      <c r="A42">
        <v>41</v>
      </c>
      <c r="B42" s="17" t="s">
        <v>679</v>
      </c>
      <c r="C42" s="17" t="s">
        <v>1552</v>
      </c>
    </row>
    <row r="43" spans="1:3" x14ac:dyDescent="0.45">
      <c r="A43">
        <v>42</v>
      </c>
      <c r="B43" s="17" t="s">
        <v>1234</v>
      </c>
      <c r="C43" s="17" t="s">
        <v>1329</v>
      </c>
    </row>
    <row r="44" spans="1:3" x14ac:dyDescent="0.45">
      <c r="A44">
        <v>43</v>
      </c>
      <c r="B44" s="17" t="s">
        <v>1333</v>
      </c>
      <c r="C44" s="17" t="s">
        <v>1312</v>
      </c>
    </row>
    <row r="45" spans="1:3" x14ac:dyDescent="0.45">
      <c r="A45">
        <v>44</v>
      </c>
      <c r="B45" s="17" t="s">
        <v>1300</v>
      </c>
      <c r="C45" s="17" t="s">
        <v>1394</v>
      </c>
    </row>
    <row r="46" spans="1:3" x14ac:dyDescent="0.45">
      <c r="A46">
        <v>45</v>
      </c>
      <c r="B46" s="17" t="s">
        <v>588</v>
      </c>
      <c r="C46" s="17" t="s">
        <v>1492</v>
      </c>
    </row>
    <row r="47" spans="1:3" x14ac:dyDescent="0.45">
      <c r="A47">
        <v>46</v>
      </c>
      <c r="B47" s="17" t="s">
        <v>1277</v>
      </c>
      <c r="C47" s="17" t="s">
        <v>1409</v>
      </c>
    </row>
    <row r="48" spans="1:3" x14ac:dyDescent="0.45">
      <c r="A48">
        <v>47</v>
      </c>
      <c r="B48" s="17" t="s">
        <v>1228</v>
      </c>
      <c r="C48" s="17" t="s">
        <v>1573</v>
      </c>
    </row>
    <row r="49" spans="1:3" x14ac:dyDescent="0.45">
      <c r="A49">
        <v>48</v>
      </c>
      <c r="B49" s="17" t="s">
        <v>742</v>
      </c>
      <c r="C49" s="17" t="s">
        <v>1389</v>
      </c>
    </row>
    <row r="50" spans="1:3" x14ac:dyDescent="0.45">
      <c r="A50">
        <v>49</v>
      </c>
      <c r="B50" s="17" t="s">
        <v>1321</v>
      </c>
      <c r="C50" s="17" t="s">
        <v>1509</v>
      </c>
    </row>
    <row r="51" spans="1:3" x14ac:dyDescent="0.45">
      <c r="A51">
        <v>50</v>
      </c>
      <c r="B51" s="17" t="s">
        <v>1470</v>
      </c>
      <c r="C51" s="17" t="s">
        <v>1329</v>
      </c>
    </row>
    <row r="52" spans="1:3" x14ac:dyDescent="0.45">
      <c r="A52">
        <v>51</v>
      </c>
      <c r="B52" s="17" t="s">
        <v>1592</v>
      </c>
      <c r="C52" s="17" t="s">
        <v>1433</v>
      </c>
    </row>
    <row r="53" spans="1:3" x14ac:dyDescent="0.45">
      <c r="A53">
        <v>52</v>
      </c>
      <c r="B53" s="17" t="s">
        <v>705</v>
      </c>
      <c r="C53" s="17" t="s">
        <v>1368</v>
      </c>
    </row>
    <row r="54" spans="1:3" x14ac:dyDescent="0.45">
      <c r="A54">
        <v>53</v>
      </c>
      <c r="B54" s="13" t="s">
        <v>1337</v>
      </c>
      <c r="C54" s="13" t="s">
        <v>1369</v>
      </c>
    </row>
    <row r="55" spans="1:3" x14ac:dyDescent="0.45">
      <c r="A55">
        <v>54</v>
      </c>
      <c r="B55" s="17" t="s">
        <v>1596</v>
      </c>
      <c r="C55" s="17" t="s">
        <v>1341</v>
      </c>
    </row>
    <row r="56" spans="1:3" x14ac:dyDescent="0.45">
      <c r="A56">
        <v>55</v>
      </c>
      <c r="B56" s="13" t="s">
        <v>1216</v>
      </c>
      <c r="C56" s="13" t="s">
        <v>1372</v>
      </c>
    </row>
    <row r="57" spans="1:3" x14ac:dyDescent="0.45">
      <c r="A57">
        <v>56</v>
      </c>
      <c r="B57" s="13"/>
      <c r="C57" s="13"/>
    </row>
    <row r="58" spans="1:3" x14ac:dyDescent="0.45">
      <c r="A58">
        <v>57</v>
      </c>
      <c r="B58" s="13"/>
      <c r="C58" s="13"/>
    </row>
    <row r="59" spans="1:3" x14ac:dyDescent="0.45">
      <c r="A59">
        <v>58</v>
      </c>
      <c r="B59" s="13"/>
      <c r="C59" s="13"/>
    </row>
    <row r="60" spans="1:3" x14ac:dyDescent="0.45">
      <c r="B60" s="32"/>
      <c r="C60" s="32"/>
    </row>
    <row r="61" spans="1:3" x14ac:dyDescent="0.45">
      <c r="B61" s="17"/>
      <c r="C61" s="17"/>
    </row>
    <row r="62" spans="1:3" x14ac:dyDescent="0.45">
      <c r="B62" s="13"/>
      <c r="C62" s="13"/>
    </row>
    <row r="63" spans="1:3" x14ac:dyDescent="0.45">
      <c r="B63" s="13"/>
      <c r="C63" s="13"/>
    </row>
    <row r="64" spans="1:3" x14ac:dyDescent="0.45">
      <c r="B64" s="13"/>
      <c r="C64" s="13"/>
    </row>
    <row r="65" spans="2:3" x14ac:dyDescent="0.45">
      <c r="B65" s="13"/>
      <c r="C65" s="13"/>
    </row>
    <row r="66" spans="2:3" x14ac:dyDescent="0.45">
      <c r="B66" s="13"/>
      <c r="C66" s="13"/>
    </row>
    <row r="67" spans="2:3" x14ac:dyDescent="0.45">
      <c r="B67" s="17"/>
      <c r="C67" s="17"/>
    </row>
    <row r="68" spans="2:3" x14ac:dyDescent="0.45">
      <c r="B68" s="17"/>
      <c r="C68" s="17"/>
    </row>
    <row r="69" spans="2:3" x14ac:dyDescent="0.45">
      <c r="B69" s="17"/>
      <c r="C69" s="17"/>
    </row>
    <row r="70" spans="2:3" x14ac:dyDescent="0.45">
      <c r="B70" s="13"/>
      <c r="C70" s="13"/>
    </row>
    <row r="71" spans="2:3" x14ac:dyDescent="0.45">
      <c r="B71" s="13"/>
      <c r="C71" s="13"/>
    </row>
    <row r="72" spans="2:3" x14ac:dyDescent="0.45">
      <c r="B72" s="13"/>
      <c r="C72" s="13"/>
    </row>
    <row r="73" spans="2:3" x14ac:dyDescent="0.45">
      <c r="B73" s="13"/>
      <c r="C73" s="13"/>
    </row>
    <row r="74" spans="2:3" x14ac:dyDescent="0.45">
      <c r="B74" s="13"/>
      <c r="C74" s="13"/>
    </row>
  </sheetData>
  <sortState xmlns:xlrd2="http://schemas.microsoft.com/office/spreadsheetml/2017/richdata2" ref="A2:E74">
    <sortCondition ref="C1:C74"/>
  </sortState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AE40F-92D4-4EF0-A2D7-2C854F87063B}">
  <sheetPr codeName="Feuil11"/>
  <dimension ref="A1:E74"/>
  <sheetViews>
    <sheetView workbookViewId="0">
      <pane ySplit="1" topLeftCell="A2" activePane="bottomLeft" state="frozen"/>
      <selection pane="bottomLeft" sqref="A1:XFD1"/>
    </sheetView>
  </sheetViews>
  <sheetFormatPr defaultColWidth="10.6640625" defaultRowHeight="14.25" x14ac:dyDescent="0.45"/>
  <cols>
    <col min="3" max="3" width="30" customWidth="1"/>
  </cols>
  <sheetData>
    <row r="1" spans="1:5" x14ac:dyDescent="0.45">
      <c r="A1" s="1" t="s">
        <v>1188</v>
      </c>
      <c r="B1" s="1" t="s">
        <v>9</v>
      </c>
      <c r="C1" s="1" t="s">
        <v>10</v>
      </c>
      <c r="D1" s="1" t="s">
        <v>1186</v>
      </c>
      <c r="E1" s="1" t="s">
        <v>1187</v>
      </c>
    </row>
    <row r="2" spans="1:5" x14ac:dyDescent="0.45">
      <c r="A2">
        <v>1</v>
      </c>
      <c r="B2" s="17" t="s">
        <v>228</v>
      </c>
      <c r="C2" s="17" t="s">
        <v>1219</v>
      </c>
    </row>
    <row r="3" spans="1:5" x14ac:dyDescent="0.45">
      <c r="A3">
        <v>2</v>
      </c>
      <c r="B3" s="17" t="s">
        <v>1232</v>
      </c>
      <c r="C3" s="17" t="s">
        <v>1233</v>
      </c>
    </row>
    <row r="4" spans="1:5" x14ac:dyDescent="0.45">
      <c r="A4">
        <v>3</v>
      </c>
      <c r="B4" s="17" t="s">
        <v>402</v>
      </c>
      <c r="C4" s="17" t="s">
        <v>1245</v>
      </c>
    </row>
    <row r="5" spans="1:5" x14ac:dyDescent="0.45">
      <c r="A5">
        <v>4</v>
      </c>
      <c r="B5" s="17" t="s">
        <v>1273</v>
      </c>
      <c r="C5" s="17" t="s">
        <v>1277</v>
      </c>
    </row>
    <row r="6" spans="1:5" x14ac:dyDescent="0.45">
      <c r="A6">
        <v>5</v>
      </c>
      <c r="B6" s="17" t="s">
        <v>1288</v>
      </c>
      <c r="C6" s="17" t="s">
        <v>1289</v>
      </c>
    </row>
    <row r="7" spans="1:5" x14ac:dyDescent="0.45">
      <c r="A7">
        <v>6</v>
      </c>
      <c r="B7" s="17" t="s">
        <v>1306</v>
      </c>
      <c r="C7" s="17" t="s">
        <v>1285</v>
      </c>
    </row>
    <row r="8" spans="1:5" x14ac:dyDescent="0.45">
      <c r="A8">
        <v>7</v>
      </c>
      <c r="B8" s="17" t="s">
        <v>1321</v>
      </c>
      <c r="C8" s="17" t="s">
        <v>1320</v>
      </c>
    </row>
    <row r="9" spans="1:5" x14ac:dyDescent="0.45">
      <c r="A9">
        <v>8</v>
      </c>
      <c r="B9" s="17" t="s">
        <v>1328</v>
      </c>
      <c r="C9" s="17" t="s">
        <v>1329</v>
      </c>
    </row>
    <row r="10" spans="1:5" x14ac:dyDescent="0.45">
      <c r="A10">
        <v>9</v>
      </c>
      <c r="B10" s="17" t="s">
        <v>1247</v>
      </c>
      <c r="C10" s="17" t="s">
        <v>1348</v>
      </c>
    </row>
    <row r="11" spans="1:5" x14ac:dyDescent="0.45">
      <c r="A11">
        <v>10</v>
      </c>
      <c r="B11" s="17" t="s">
        <v>1304</v>
      </c>
      <c r="C11" s="17" t="s">
        <v>1312</v>
      </c>
    </row>
    <row r="12" spans="1:5" x14ac:dyDescent="0.45">
      <c r="A12">
        <v>11</v>
      </c>
      <c r="B12" s="17" t="s">
        <v>1383</v>
      </c>
      <c r="C12" s="17" t="s">
        <v>1384</v>
      </c>
    </row>
    <row r="13" spans="1:5" x14ac:dyDescent="0.45">
      <c r="A13">
        <v>12</v>
      </c>
      <c r="B13" s="17" t="s">
        <v>1288</v>
      </c>
      <c r="C13" s="17" t="s">
        <v>1395</v>
      </c>
    </row>
    <row r="14" spans="1:5" x14ac:dyDescent="0.45">
      <c r="A14">
        <v>13</v>
      </c>
      <c r="B14" s="17" t="s">
        <v>1410</v>
      </c>
      <c r="C14" s="17" t="s">
        <v>1238</v>
      </c>
    </row>
    <row r="15" spans="1:5" x14ac:dyDescent="0.45">
      <c r="A15">
        <v>14</v>
      </c>
      <c r="B15" s="17" t="s">
        <v>1375</v>
      </c>
      <c r="C15" s="17" t="s">
        <v>1419</v>
      </c>
    </row>
    <row r="16" spans="1:5" x14ac:dyDescent="0.45">
      <c r="A16">
        <v>15</v>
      </c>
      <c r="B16" s="17" t="s">
        <v>1426</v>
      </c>
      <c r="C16" s="17" t="s">
        <v>1427</v>
      </c>
    </row>
    <row r="17" spans="1:3" x14ac:dyDescent="0.45">
      <c r="A17">
        <v>16</v>
      </c>
      <c r="B17" s="17" t="s">
        <v>1440</v>
      </c>
      <c r="C17" s="17" t="s">
        <v>1441</v>
      </c>
    </row>
    <row r="18" spans="1:3" x14ac:dyDescent="0.45">
      <c r="A18">
        <v>17</v>
      </c>
      <c r="B18" s="17" t="s">
        <v>1442</v>
      </c>
      <c r="C18" s="17" t="s">
        <v>1443</v>
      </c>
    </row>
    <row r="19" spans="1:3" x14ac:dyDescent="0.45">
      <c r="A19">
        <v>18</v>
      </c>
      <c r="B19" s="17" t="s">
        <v>46</v>
      </c>
      <c r="C19" s="17" t="s">
        <v>1285</v>
      </c>
    </row>
    <row r="20" spans="1:3" x14ac:dyDescent="0.45">
      <c r="A20">
        <v>19</v>
      </c>
      <c r="B20" s="17" t="s">
        <v>1386</v>
      </c>
      <c r="C20" s="17" t="s">
        <v>1403</v>
      </c>
    </row>
    <row r="21" spans="1:3" x14ac:dyDescent="0.45">
      <c r="A21">
        <v>20</v>
      </c>
      <c r="B21" s="17" t="s">
        <v>117</v>
      </c>
      <c r="C21" s="17" t="s">
        <v>1224</v>
      </c>
    </row>
    <row r="22" spans="1:3" x14ac:dyDescent="0.45">
      <c r="A22">
        <v>21</v>
      </c>
      <c r="B22" s="17" t="s">
        <v>802</v>
      </c>
      <c r="C22" s="17" t="s">
        <v>262</v>
      </c>
    </row>
    <row r="23" spans="1:3" x14ac:dyDescent="0.45">
      <c r="A23">
        <v>22</v>
      </c>
      <c r="B23" s="17" t="s">
        <v>1449</v>
      </c>
      <c r="C23" s="17" t="s">
        <v>1468</v>
      </c>
    </row>
    <row r="24" spans="1:3" x14ac:dyDescent="0.45">
      <c r="A24">
        <v>23</v>
      </c>
      <c r="B24" s="17" t="s">
        <v>1288</v>
      </c>
      <c r="C24" s="17" t="s">
        <v>1268</v>
      </c>
    </row>
    <row r="25" spans="1:3" x14ac:dyDescent="0.45">
      <c r="A25">
        <v>24</v>
      </c>
      <c r="B25" s="17" t="s">
        <v>319</v>
      </c>
      <c r="C25" s="17" t="s">
        <v>1322</v>
      </c>
    </row>
    <row r="26" spans="1:3" x14ac:dyDescent="0.45">
      <c r="A26">
        <v>25</v>
      </c>
      <c r="B26" s="17" t="s">
        <v>1291</v>
      </c>
      <c r="C26" s="17" t="s">
        <v>1395</v>
      </c>
    </row>
    <row r="27" spans="1:3" x14ac:dyDescent="0.45">
      <c r="A27">
        <v>26</v>
      </c>
      <c r="B27" s="17" t="s">
        <v>1479</v>
      </c>
      <c r="C27" s="17" t="s">
        <v>1480</v>
      </c>
    </row>
    <row r="28" spans="1:3" x14ac:dyDescent="0.45">
      <c r="A28">
        <v>27</v>
      </c>
      <c r="B28" s="17" t="s">
        <v>1330</v>
      </c>
      <c r="C28" s="17" t="s">
        <v>1283</v>
      </c>
    </row>
    <row r="29" spans="1:3" x14ac:dyDescent="0.45">
      <c r="A29">
        <v>28</v>
      </c>
      <c r="B29" s="17" t="s">
        <v>1247</v>
      </c>
      <c r="C29" s="17" t="s">
        <v>1489</v>
      </c>
    </row>
    <row r="30" spans="1:3" x14ac:dyDescent="0.45">
      <c r="A30">
        <v>29</v>
      </c>
      <c r="B30" s="17" t="s">
        <v>1460</v>
      </c>
      <c r="C30" s="17" t="s">
        <v>1329</v>
      </c>
    </row>
    <row r="31" spans="1:3" x14ac:dyDescent="0.45">
      <c r="A31">
        <v>30</v>
      </c>
      <c r="B31" s="17" t="s">
        <v>1221</v>
      </c>
      <c r="C31" s="17" t="s">
        <v>1490</v>
      </c>
    </row>
    <row r="32" spans="1:3" x14ac:dyDescent="0.45">
      <c r="A32">
        <v>31</v>
      </c>
      <c r="B32" s="17" t="s">
        <v>1457</v>
      </c>
      <c r="C32" s="17" t="s">
        <v>1493</v>
      </c>
    </row>
    <row r="33" spans="1:3" x14ac:dyDescent="0.45">
      <c r="A33">
        <v>32</v>
      </c>
      <c r="B33" s="17" t="s">
        <v>1451</v>
      </c>
      <c r="C33" s="17" t="s">
        <v>1416</v>
      </c>
    </row>
    <row r="34" spans="1:3" x14ac:dyDescent="0.45">
      <c r="A34">
        <v>33</v>
      </c>
      <c r="B34" s="17" t="s">
        <v>221</v>
      </c>
      <c r="C34" s="17" t="s">
        <v>1250</v>
      </c>
    </row>
    <row r="35" spans="1:3" x14ac:dyDescent="0.45">
      <c r="A35">
        <v>34</v>
      </c>
      <c r="B35" s="17" t="s">
        <v>1414</v>
      </c>
      <c r="C35" s="17" t="s">
        <v>1459</v>
      </c>
    </row>
    <row r="36" spans="1:3" x14ac:dyDescent="0.45">
      <c r="A36">
        <v>35</v>
      </c>
      <c r="B36" s="17" t="s">
        <v>1381</v>
      </c>
      <c r="C36" s="17" t="s">
        <v>1434</v>
      </c>
    </row>
    <row r="37" spans="1:3" x14ac:dyDescent="0.45">
      <c r="A37">
        <v>36</v>
      </c>
      <c r="B37" s="17" t="s">
        <v>1230</v>
      </c>
      <c r="C37" s="17" t="s">
        <v>1525</v>
      </c>
    </row>
    <row r="38" spans="1:3" x14ac:dyDescent="0.45">
      <c r="A38">
        <v>37</v>
      </c>
      <c r="B38" s="17" t="s">
        <v>1460</v>
      </c>
      <c r="C38" s="17" t="s">
        <v>1235</v>
      </c>
    </row>
    <row r="39" spans="1:3" x14ac:dyDescent="0.45">
      <c r="A39">
        <v>38</v>
      </c>
      <c r="B39" s="17" t="s">
        <v>1508</v>
      </c>
      <c r="C39" s="17" t="s">
        <v>1238</v>
      </c>
    </row>
    <row r="40" spans="1:3" x14ac:dyDescent="0.45">
      <c r="A40">
        <v>39</v>
      </c>
      <c r="B40" s="17" t="s">
        <v>647</v>
      </c>
      <c r="C40" s="17" t="s">
        <v>1534</v>
      </c>
    </row>
    <row r="41" spans="1:3" x14ac:dyDescent="0.45">
      <c r="A41">
        <v>40</v>
      </c>
      <c r="B41" s="17" t="s">
        <v>466</v>
      </c>
      <c r="C41" s="17" t="s">
        <v>1539</v>
      </c>
    </row>
    <row r="42" spans="1:3" x14ac:dyDescent="0.45">
      <c r="A42">
        <v>41</v>
      </c>
      <c r="B42" s="17" t="s">
        <v>50</v>
      </c>
      <c r="C42" s="17" t="s">
        <v>1541</v>
      </c>
    </row>
    <row r="43" spans="1:3" x14ac:dyDescent="0.45">
      <c r="A43">
        <v>42</v>
      </c>
      <c r="B43" s="17" t="s">
        <v>1306</v>
      </c>
      <c r="C43" s="17" t="s">
        <v>1553</v>
      </c>
    </row>
    <row r="44" spans="1:3" x14ac:dyDescent="0.45">
      <c r="A44">
        <v>43</v>
      </c>
      <c r="B44" s="17" t="s">
        <v>1436</v>
      </c>
      <c r="C44" s="17" t="s">
        <v>1554</v>
      </c>
    </row>
    <row r="45" spans="1:3" x14ac:dyDescent="0.45">
      <c r="A45">
        <v>44</v>
      </c>
      <c r="B45" s="17" t="s">
        <v>46</v>
      </c>
      <c r="C45" s="17" t="s">
        <v>1389</v>
      </c>
    </row>
    <row r="46" spans="1:3" x14ac:dyDescent="0.45">
      <c r="A46">
        <v>45</v>
      </c>
      <c r="B46" s="17" t="s">
        <v>556</v>
      </c>
      <c r="C46" s="17" t="s">
        <v>1570</v>
      </c>
    </row>
    <row r="47" spans="1:3" x14ac:dyDescent="0.45">
      <c r="A47">
        <v>46</v>
      </c>
      <c r="B47" s="17" t="s">
        <v>1574</v>
      </c>
      <c r="C47" s="17" t="s">
        <v>1438</v>
      </c>
    </row>
    <row r="48" spans="1:3" x14ac:dyDescent="0.45">
      <c r="A48">
        <v>47</v>
      </c>
      <c r="B48" s="17" t="s">
        <v>1457</v>
      </c>
      <c r="C48" s="17" t="s">
        <v>1577</v>
      </c>
    </row>
    <row r="49" spans="1:3" x14ac:dyDescent="0.45">
      <c r="A49">
        <v>48</v>
      </c>
      <c r="B49" s="17" t="s">
        <v>1333</v>
      </c>
      <c r="C49" s="17" t="s">
        <v>1496</v>
      </c>
    </row>
    <row r="50" spans="1:3" x14ac:dyDescent="0.45">
      <c r="A50">
        <v>49</v>
      </c>
      <c r="B50" s="17" t="s">
        <v>1216</v>
      </c>
      <c r="C50" s="17" t="s">
        <v>1286</v>
      </c>
    </row>
    <row r="51" spans="1:3" x14ac:dyDescent="0.45">
      <c r="A51">
        <v>50</v>
      </c>
      <c r="B51" s="17" t="s">
        <v>1584</v>
      </c>
      <c r="C51" s="17" t="s">
        <v>1475</v>
      </c>
    </row>
    <row r="52" spans="1:3" x14ac:dyDescent="0.45">
      <c r="A52">
        <v>51</v>
      </c>
      <c r="B52" s="17" t="s">
        <v>1364</v>
      </c>
      <c r="C52" s="17" t="s">
        <v>1225</v>
      </c>
    </row>
    <row r="53" spans="1:3" x14ac:dyDescent="0.45">
      <c r="A53">
        <v>52</v>
      </c>
      <c r="B53" s="17" t="s">
        <v>742</v>
      </c>
      <c r="C53" s="17" t="s">
        <v>1225</v>
      </c>
    </row>
    <row r="54" spans="1:3" x14ac:dyDescent="0.45">
      <c r="A54">
        <v>53</v>
      </c>
      <c r="B54" s="13" t="s">
        <v>473</v>
      </c>
      <c r="C54" s="13" t="s">
        <v>1334</v>
      </c>
    </row>
    <row r="55" spans="1:3" x14ac:dyDescent="0.45">
      <c r="A55">
        <v>54</v>
      </c>
      <c r="B55" s="13" t="s">
        <v>1587</v>
      </c>
      <c r="C55" s="13" t="s">
        <v>1413</v>
      </c>
    </row>
    <row r="56" spans="1:3" x14ac:dyDescent="0.45">
      <c r="A56">
        <v>55</v>
      </c>
      <c r="B56" s="13" t="s">
        <v>1451</v>
      </c>
      <c r="C56" s="13" t="s">
        <v>1336</v>
      </c>
    </row>
    <row r="57" spans="1:3" x14ac:dyDescent="0.45">
      <c r="A57">
        <v>56</v>
      </c>
      <c r="B57" s="17" t="s">
        <v>233</v>
      </c>
      <c r="C57" s="17" t="s">
        <v>1516</v>
      </c>
    </row>
    <row r="58" spans="1:3" x14ac:dyDescent="0.45">
      <c r="A58">
        <v>57</v>
      </c>
      <c r="B58" s="17" t="s">
        <v>1302</v>
      </c>
      <c r="C58" s="17" t="s">
        <v>1526</v>
      </c>
    </row>
    <row r="59" spans="1:3" x14ac:dyDescent="0.45">
      <c r="A59">
        <v>58</v>
      </c>
      <c r="B59" s="17" t="s">
        <v>671</v>
      </c>
      <c r="C59" s="17" t="s">
        <v>1251</v>
      </c>
    </row>
    <row r="60" spans="1:3" x14ac:dyDescent="0.45">
      <c r="A60">
        <v>59</v>
      </c>
      <c r="B60" s="13" t="s">
        <v>1425</v>
      </c>
      <c r="C60" s="13" t="s">
        <v>1601</v>
      </c>
    </row>
    <row r="61" spans="1:3" x14ac:dyDescent="0.45">
      <c r="B61" s="31"/>
      <c r="C61" s="31"/>
    </row>
    <row r="62" spans="1:3" x14ac:dyDescent="0.45">
      <c r="B62" s="31"/>
      <c r="C62" s="31"/>
    </row>
    <row r="63" spans="1:3" x14ac:dyDescent="0.45">
      <c r="B63" s="31"/>
      <c r="C63" s="31"/>
    </row>
    <row r="64" spans="1:3" x14ac:dyDescent="0.45">
      <c r="B64" s="13"/>
      <c r="C64" s="13"/>
    </row>
    <row r="65" spans="2:3" x14ac:dyDescent="0.45">
      <c r="B65" s="13"/>
      <c r="C65" s="13"/>
    </row>
    <row r="66" spans="2:3" x14ac:dyDescent="0.45">
      <c r="B66" s="13"/>
      <c r="C66" s="13"/>
    </row>
    <row r="67" spans="2:3" x14ac:dyDescent="0.45">
      <c r="B67" s="17"/>
      <c r="C67" s="17"/>
    </row>
    <row r="68" spans="2:3" x14ac:dyDescent="0.45">
      <c r="B68" s="17"/>
      <c r="C68" s="17"/>
    </row>
    <row r="69" spans="2:3" x14ac:dyDescent="0.45">
      <c r="B69" s="17"/>
      <c r="C69" s="17"/>
    </row>
    <row r="70" spans="2:3" x14ac:dyDescent="0.45">
      <c r="B70" s="13"/>
      <c r="C70" s="13"/>
    </row>
    <row r="71" spans="2:3" x14ac:dyDescent="0.45">
      <c r="B71" s="13"/>
      <c r="C71" s="13"/>
    </row>
    <row r="72" spans="2:3" x14ac:dyDescent="0.45">
      <c r="B72" s="13"/>
      <c r="C72" s="13"/>
    </row>
    <row r="73" spans="2:3" x14ac:dyDescent="0.45">
      <c r="B73" s="13"/>
      <c r="C73" s="13"/>
    </row>
    <row r="74" spans="2:3" x14ac:dyDescent="0.45">
      <c r="B74" s="13"/>
      <c r="C74" s="13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3FC08-14BB-4AD6-88AC-07E395DCECC1}">
  <sheetPr codeName="Feuil12"/>
  <dimension ref="A1:E74"/>
  <sheetViews>
    <sheetView workbookViewId="0">
      <pane ySplit="1" topLeftCell="A2" activePane="bottomLeft" state="frozen"/>
      <selection pane="bottomLeft" sqref="A1:XFD1"/>
    </sheetView>
  </sheetViews>
  <sheetFormatPr defaultColWidth="10.6640625" defaultRowHeight="14.25" x14ac:dyDescent="0.45"/>
  <cols>
    <col min="2" max="2" width="16" customWidth="1"/>
    <col min="3" max="3" width="24" customWidth="1"/>
  </cols>
  <sheetData>
    <row r="1" spans="1:5" x14ac:dyDescent="0.45">
      <c r="A1" s="1" t="s">
        <v>1188</v>
      </c>
      <c r="B1" s="1" t="s">
        <v>9</v>
      </c>
      <c r="C1" s="1" t="s">
        <v>10</v>
      </c>
      <c r="D1" s="1" t="s">
        <v>1186</v>
      </c>
      <c r="E1" s="1" t="s">
        <v>1187</v>
      </c>
    </row>
    <row r="2" spans="1:5" x14ac:dyDescent="0.45">
      <c r="A2">
        <v>1</v>
      </c>
      <c r="B2" s="17" t="s">
        <v>1136</v>
      </c>
      <c r="C2" s="17" t="s">
        <v>1250</v>
      </c>
    </row>
    <row r="3" spans="1:5" x14ac:dyDescent="0.45">
      <c r="A3">
        <v>2</v>
      </c>
      <c r="B3" s="17" t="s">
        <v>269</v>
      </c>
      <c r="C3" s="17" t="s">
        <v>1260</v>
      </c>
    </row>
    <row r="4" spans="1:5" x14ac:dyDescent="0.45">
      <c r="A4">
        <v>3</v>
      </c>
      <c r="B4" s="17" t="s">
        <v>679</v>
      </c>
      <c r="C4" s="17" t="s">
        <v>1284</v>
      </c>
    </row>
    <row r="5" spans="1:5" x14ac:dyDescent="0.45">
      <c r="A5">
        <v>4</v>
      </c>
      <c r="B5" s="17" t="s">
        <v>1294</v>
      </c>
      <c r="C5" s="17" t="s">
        <v>1219</v>
      </c>
    </row>
    <row r="6" spans="1:5" x14ac:dyDescent="0.45">
      <c r="A6">
        <v>5</v>
      </c>
      <c r="B6" s="17" t="s">
        <v>1318</v>
      </c>
      <c r="C6" s="17" t="s">
        <v>1219</v>
      </c>
    </row>
    <row r="7" spans="1:5" x14ac:dyDescent="0.45">
      <c r="A7">
        <v>6</v>
      </c>
      <c r="B7" s="17" t="s">
        <v>1325</v>
      </c>
      <c r="C7" s="17" t="s">
        <v>1326</v>
      </c>
    </row>
    <row r="8" spans="1:5" x14ac:dyDescent="0.45">
      <c r="A8">
        <v>7</v>
      </c>
      <c r="B8" s="17" t="s">
        <v>1251</v>
      </c>
      <c r="C8" s="17" t="s">
        <v>1335</v>
      </c>
    </row>
    <row r="9" spans="1:5" x14ac:dyDescent="0.45">
      <c r="A9">
        <v>8</v>
      </c>
      <c r="B9" s="17" t="s">
        <v>381</v>
      </c>
      <c r="C9" s="17" t="s">
        <v>1346</v>
      </c>
    </row>
    <row r="10" spans="1:5" x14ac:dyDescent="0.45">
      <c r="A10">
        <v>9</v>
      </c>
      <c r="B10" s="17" t="s">
        <v>1359</v>
      </c>
      <c r="C10" s="17" t="s">
        <v>1360</v>
      </c>
    </row>
    <row r="11" spans="1:5" x14ac:dyDescent="0.45">
      <c r="A11">
        <v>10</v>
      </c>
      <c r="B11" s="17" t="s">
        <v>1362</v>
      </c>
      <c r="C11" s="17" t="s">
        <v>1352</v>
      </c>
    </row>
    <row r="12" spans="1:5" x14ac:dyDescent="0.45">
      <c r="A12">
        <v>11</v>
      </c>
      <c r="B12" s="17" t="s">
        <v>1323</v>
      </c>
      <c r="C12" s="17" t="s">
        <v>319</v>
      </c>
    </row>
    <row r="13" spans="1:5" x14ac:dyDescent="0.45">
      <c r="A13">
        <v>12</v>
      </c>
      <c r="B13" s="17" t="s">
        <v>1375</v>
      </c>
      <c r="C13" s="17" t="s">
        <v>1376</v>
      </c>
    </row>
    <row r="14" spans="1:5" x14ac:dyDescent="0.45">
      <c r="A14">
        <v>13</v>
      </c>
      <c r="B14" s="17" t="s">
        <v>1306</v>
      </c>
      <c r="C14" s="17" t="s">
        <v>1356</v>
      </c>
    </row>
    <row r="15" spans="1:5" x14ac:dyDescent="0.45">
      <c r="A15">
        <v>14</v>
      </c>
      <c r="B15" s="17" t="s">
        <v>1383</v>
      </c>
      <c r="C15" s="17" t="s">
        <v>767</v>
      </c>
    </row>
    <row r="16" spans="1:5" x14ac:dyDescent="0.45">
      <c r="A16">
        <v>15</v>
      </c>
      <c r="B16" s="17" t="s">
        <v>1150</v>
      </c>
      <c r="C16" s="17" t="s">
        <v>1391</v>
      </c>
    </row>
    <row r="17" spans="1:3" x14ac:dyDescent="0.45">
      <c r="A17">
        <v>16</v>
      </c>
      <c r="B17" s="17" t="s">
        <v>1396</v>
      </c>
      <c r="C17" s="17" t="s">
        <v>1222</v>
      </c>
    </row>
    <row r="18" spans="1:3" x14ac:dyDescent="0.45">
      <c r="A18">
        <v>17</v>
      </c>
      <c r="B18" s="17" t="s">
        <v>1399</v>
      </c>
      <c r="C18" s="17" t="s">
        <v>1400</v>
      </c>
    </row>
    <row r="19" spans="1:3" x14ac:dyDescent="0.45">
      <c r="A19">
        <v>18</v>
      </c>
      <c r="B19" s="17" t="s">
        <v>466</v>
      </c>
      <c r="C19" s="17" t="s">
        <v>319</v>
      </c>
    </row>
    <row r="20" spans="1:3" x14ac:dyDescent="0.45">
      <c r="A20">
        <v>19</v>
      </c>
      <c r="B20" s="17" t="s">
        <v>342</v>
      </c>
      <c r="C20" s="17" t="s">
        <v>1446</v>
      </c>
    </row>
    <row r="21" spans="1:3" x14ac:dyDescent="0.45">
      <c r="A21">
        <v>20</v>
      </c>
      <c r="B21" s="17" t="s">
        <v>1270</v>
      </c>
      <c r="C21" s="17" t="s">
        <v>1319</v>
      </c>
    </row>
    <row r="22" spans="1:3" x14ac:dyDescent="0.45">
      <c r="A22">
        <v>21</v>
      </c>
      <c r="B22" s="17" t="s">
        <v>1425</v>
      </c>
      <c r="C22" s="17" t="s">
        <v>1263</v>
      </c>
    </row>
    <row r="23" spans="1:3" x14ac:dyDescent="0.45">
      <c r="A23">
        <v>22</v>
      </c>
      <c r="B23" s="17" t="s">
        <v>292</v>
      </c>
      <c r="C23" s="17" t="s">
        <v>1452</v>
      </c>
    </row>
    <row r="24" spans="1:3" x14ac:dyDescent="0.45">
      <c r="A24">
        <v>23</v>
      </c>
      <c r="B24" s="17" t="s">
        <v>759</v>
      </c>
      <c r="C24" s="17" t="s">
        <v>1277</v>
      </c>
    </row>
    <row r="25" spans="1:3" x14ac:dyDescent="0.45">
      <c r="A25">
        <v>24</v>
      </c>
      <c r="B25" s="17" t="s">
        <v>453</v>
      </c>
      <c r="C25" s="17" t="s">
        <v>1466</v>
      </c>
    </row>
    <row r="26" spans="1:3" x14ac:dyDescent="0.45">
      <c r="A26">
        <v>25</v>
      </c>
      <c r="B26" s="17" t="s">
        <v>1262</v>
      </c>
      <c r="C26" s="17" t="s">
        <v>1382</v>
      </c>
    </row>
    <row r="27" spans="1:3" x14ac:dyDescent="0.45">
      <c r="A27">
        <v>26</v>
      </c>
      <c r="B27" s="17" t="s">
        <v>1388</v>
      </c>
      <c r="C27" s="17" t="s">
        <v>1428</v>
      </c>
    </row>
    <row r="28" spans="1:3" x14ac:dyDescent="0.45">
      <c r="A28">
        <v>27</v>
      </c>
      <c r="B28" s="17" t="s">
        <v>1306</v>
      </c>
      <c r="C28" s="17" t="s">
        <v>1483</v>
      </c>
    </row>
    <row r="29" spans="1:3" x14ac:dyDescent="0.45">
      <c r="A29">
        <v>28</v>
      </c>
      <c r="B29" s="17" t="s">
        <v>742</v>
      </c>
      <c r="C29" s="17" t="s">
        <v>1274</v>
      </c>
    </row>
    <row r="30" spans="1:3" x14ac:dyDescent="0.45">
      <c r="A30">
        <v>29</v>
      </c>
      <c r="B30" s="17" t="s">
        <v>1388</v>
      </c>
      <c r="C30" s="17" t="s">
        <v>1505</v>
      </c>
    </row>
    <row r="31" spans="1:3" x14ac:dyDescent="0.45">
      <c r="A31">
        <v>30</v>
      </c>
      <c r="B31" s="17" t="s">
        <v>1241</v>
      </c>
      <c r="C31" s="17" t="s">
        <v>1511</v>
      </c>
    </row>
    <row r="32" spans="1:3" x14ac:dyDescent="0.45">
      <c r="A32">
        <v>31</v>
      </c>
      <c r="B32" s="17" t="s">
        <v>1472</v>
      </c>
      <c r="C32" s="17" t="s">
        <v>1222</v>
      </c>
    </row>
    <row r="33" spans="1:3" x14ac:dyDescent="0.45">
      <c r="A33">
        <v>32</v>
      </c>
      <c r="B33" s="17" t="s">
        <v>1226</v>
      </c>
      <c r="C33" s="17" t="s">
        <v>1336</v>
      </c>
    </row>
    <row r="34" spans="1:3" x14ac:dyDescent="0.45">
      <c r="A34">
        <v>33</v>
      </c>
      <c r="B34" s="17" t="s">
        <v>1290</v>
      </c>
      <c r="C34" s="17" t="s">
        <v>1515</v>
      </c>
    </row>
    <row r="35" spans="1:3" x14ac:dyDescent="0.45">
      <c r="A35">
        <v>34</v>
      </c>
      <c r="B35" s="17" t="s">
        <v>1381</v>
      </c>
      <c r="C35" s="17" t="s">
        <v>1361</v>
      </c>
    </row>
    <row r="36" spans="1:3" x14ac:dyDescent="0.45">
      <c r="A36">
        <v>35</v>
      </c>
      <c r="B36" s="17" t="s">
        <v>1371</v>
      </c>
      <c r="C36" s="17" t="s">
        <v>1384</v>
      </c>
    </row>
    <row r="37" spans="1:3" x14ac:dyDescent="0.45">
      <c r="A37">
        <v>36</v>
      </c>
      <c r="B37" s="17" t="s">
        <v>705</v>
      </c>
      <c r="C37" s="17" t="s">
        <v>1555</v>
      </c>
    </row>
    <row r="38" spans="1:3" x14ac:dyDescent="0.45">
      <c r="A38">
        <v>37</v>
      </c>
      <c r="B38" s="17" t="s">
        <v>820</v>
      </c>
      <c r="C38" s="17" t="s">
        <v>1558</v>
      </c>
    </row>
    <row r="39" spans="1:3" x14ac:dyDescent="0.45">
      <c r="A39">
        <v>38</v>
      </c>
      <c r="B39" s="17" t="s">
        <v>402</v>
      </c>
      <c r="C39" s="17" t="s">
        <v>1228</v>
      </c>
    </row>
    <row r="40" spans="1:3" x14ac:dyDescent="0.45">
      <c r="A40">
        <v>39</v>
      </c>
      <c r="B40" s="17" t="s">
        <v>1561</v>
      </c>
      <c r="C40" s="17" t="s">
        <v>1415</v>
      </c>
    </row>
    <row r="41" spans="1:3" x14ac:dyDescent="0.45">
      <c r="A41">
        <v>40</v>
      </c>
      <c r="B41" s="17" t="s">
        <v>1356</v>
      </c>
      <c r="C41" s="17" t="s">
        <v>1559</v>
      </c>
    </row>
    <row r="42" spans="1:3" x14ac:dyDescent="0.45">
      <c r="A42">
        <v>41</v>
      </c>
      <c r="B42" s="17" t="s">
        <v>1325</v>
      </c>
      <c r="C42" s="17" t="s">
        <v>1374</v>
      </c>
    </row>
    <row r="43" spans="1:3" x14ac:dyDescent="0.45">
      <c r="A43">
        <v>42</v>
      </c>
      <c r="B43" s="17" t="s">
        <v>647</v>
      </c>
      <c r="C43" s="17" t="s">
        <v>1233</v>
      </c>
    </row>
    <row r="44" spans="1:3" x14ac:dyDescent="0.45">
      <c r="A44">
        <v>43</v>
      </c>
      <c r="B44" s="17" t="s">
        <v>402</v>
      </c>
      <c r="C44" s="17" t="s">
        <v>1504</v>
      </c>
    </row>
    <row r="45" spans="1:3" x14ac:dyDescent="0.45">
      <c r="A45">
        <v>44</v>
      </c>
      <c r="B45" s="17" t="s">
        <v>1239</v>
      </c>
      <c r="C45" s="17" t="s">
        <v>1578</v>
      </c>
    </row>
    <row r="46" spans="1:3" x14ac:dyDescent="0.45">
      <c r="A46">
        <v>45</v>
      </c>
      <c r="B46" s="17" t="s">
        <v>1569</v>
      </c>
      <c r="C46" s="17" t="s">
        <v>1285</v>
      </c>
    </row>
    <row r="47" spans="1:3" x14ac:dyDescent="0.45">
      <c r="A47">
        <v>46</v>
      </c>
      <c r="B47" s="17" t="s">
        <v>1326</v>
      </c>
      <c r="C47" s="17" t="s">
        <v>1583</v>
      </c>
    </row>
    <row r="48" spans="1:3" x14ac:dyDescent="0.45">
      <c r="A48">
        <v>47</v>
      </c>
      <c r="B48" s="17" t="s">
        <v>1258</v>
      </c>
      <c r="C48" s="17" t="s">
        <v>1369</v>
      </c>
    </row>
    <row r="49" spans="1:3" x14ac:dyDescent="0.45">
      <c r="A49">
        <v>48</v>
      </c>
      <c r="B49" s="17" t="s">
        <v>1507</v>
      </c>
      <c r="C49" s="17" t="s">
        <v>1319</v>
      </c>
    </row>
    <row r="50" spans="1:3" x14ac:dyDescent="0.45">
      <c r="A50">
        <v>49</v>
      </c>
      <c r="B50" s="13" t="s">
        <v>1216</v>
      </c>
      <c r="C50" s="13" t="s">
        <v>1218</v>
      </c>
    </row>
    <row r="51" spans="1:3" x14ac:dyDescent="0.45">
      <c r="A51">
        <v>50</v>
      </c>
      <c r="B51" s="13" t="s">
        <v>522</v>
      </c>
      <c r="C51" s="13" t="s">
        <v>1554</v>
      </c>
    </row>
    <row r="52" spans="1:3" x14ac:dyDescent="0.45">
      <c r="A52">
        <v>51</v>
      </c>
      <c r="B52" s="13" t="s">
        <v>556</v>
      </c>
      <c r="C52" s="13" t="s">
        <v>89</v>
      </c>
    </row>
    <row r="53" spans="1:3" x14ac:dyDescent="0.45">
      <c r="A53">
        <v>52</v>
      </c>
      <c r="B53" s="13" t="s">
        <v>1295</v>
      </c>
      <c r="C53" s="13" t="s">
        <v>1374</v>
      </c>
    </row>
    <row r="54" spans="1:3" x14ac:dyDescent="0.45">
      <c r="A54">
        <v>53</v>
      </c>
      <c r="B54" s="13" t="s">
        <v>1598</v>
      </c>
      <c r="C54" s="13" t="s">
        <v>1599</v>
      </c>
    </row>
    <row r="55" spans="1:3" x14ac:dyDescent="0.45">
      <c r="A55">
        <v>54</v>
      </c>
      <c r="B55" s="13"/>
      <c r="C55" s="13"/>
    </row>
    <row r="56" spans="1:3" x14ac:dyDescent="0.45">
      <c r="A56">
        <v>55</v>
      </c>
      <c r="B56" s="13"/>
      <c r="C56" s="13"/>
    </row>
    <row r="57" spans="1:3" x14ac:dyDescent="0.45">
      <c r="A57">
        <v>56</v>
      </c>
      <c r="B57" s="13"/>
      <c r="C57" s="13"/>
    </row>
    <row r="58" spans="1:3" x14ac:dyDescent="0.45">
      <c r="A58">
        <v>57</v>
      </c>
      <c r="B58" s="13"/>
      <c r="C58" s="13"/>
    </row>
    <row r="59" spans="1:3" x14ac:dyDescent="0.45">
      <c r="B59" s="17"/>
      <c r="C59" s="17"/>
    </row>
    <row r="60" spans="1:3" x14ac:dyDescent="0.45">
      <c r="B60" s="13"/>
      <c r="C60" s="13"/>
    </row>
    <row r="61" spans="1:3" x14ac:dyDescent="0.45">
      <c r="B61" s="17"/>
      <c r="C61" s="17"/>
    </row>
    <row r="62" spans="1:3" x14ac:dyDescent="0.45">
      <c r="B62" s="13"/>
      <c r="C62" s="13"/>
    </row>
    <row r="63" spans="1:3" x14ac:dyDescent="0.45">
      <c r="B63" s="13"/>
      <c r="C63" s="13"/>
    </row>
    <row r="64" spans="1:3" x14ac:dyDescent="0.45">
      <c r="B64" s="13"/>
      <c r="C64" s="13"/>
    </row>
    <row r="65" spans="2:3" x14ac:dyDescent="0.45">
      <c r="B65" s="13"/>
      <c r="C65" s="13"/>
    </row>
    <row r="66" spans="2:3" x14ac:dyDescent="0.45">
      <c r="B66" s="13"/>
      <c r="C66" s="13"/>
    </row>
    <row r="67" spans="2:3" x14ac:dyDescent="0.45">
      <c r="B67" s="17"/>
      <c r="C67" s="17"/>
    </row>
    <row r="68" spans="2:3" x14ac:dyDescent="0.45">
      <c r="B68" s="17"/>
      <c r="C68" s="17"/>
    </row>
    <row r="69" spans="2:3" x14ac:dyDescent="0.45">
      <c r="B69" s="17"/>
      <c r="C69" s="17"/>
    </row>
    <row r="70" spans="2:3" x14ac:dyDescent="0.45">
      <c r="B70" s="13"/>
      <c r="C70" s="13"/>
    </row>
    <row r="71" spans="2:3" x14ac:dyDescent="0.45">
      <c r="B71" s="13"/>
      <c r="C71" s="13"/>
    </row>
    <row r="72" spans="2:3" x14ac:dyDescent="0.45">
      <c r="B72" s="13"/>
      <c r="C72" s="13"/>
    </row>
    <row r="73" spans="2:3" x14ac:dyDescent="0.45">
      <c r="B73" s="13"/>
      <c r="C73" s="13"/>
    </row>
    <row r="74" spans="2:3" x14ac:dyDescent="0.45">
      <c r="B74" s="13"/>
      <c r="C74" s="13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C0C8D-1726-4AFF-AA49-9F61A186B283}">
  <sheetPr codeName="Feuil13"/>
  <dimension ref="A1:E74"/>
  <sheetViews>
    <sheetView workbookViewId="0">
      <pane ySplit="1" topLeftCell="A26" activePane="bottomLeft" state="frozen"/>
      <selection pane="bottomLeft" sqref="A1:XFD1"/>
    </sheetView>
  </sheetViews>
  <sheetFormatPr defaultColWidth="10.6640625" defaultRowHeight="14.25" x14ac:dyDescent="0.45"/>
  <cols>
    <col min="2" max="2" width="16" customWidth="1"/>
    <col min="3" max="3" width="19.86328125" customWidth="1"/>
  </cols>
  <sheetData>
    <row r="1" spans="1:5" x14ac:dyDescent="0.45">
      <c r="A1" s="1" t="s">
        <v>1188</v>
      </c>
      <c r="B1" s="1" t="s">
        <v>9</v>
      </c>
      <c r="C1" s="1" t="s">
        <v>10</v>
      </c>
      <c r="D1" s="1" t="s">
        <v>1186</v>
      </c>
      <c r="E1" s="1" t="s">
        <v>1187</v>
      </c>
    </row>
    <row r="2" spans="1:5" x14ac:dyDescent="0.45">
      <c r="A2">
        <v>1</v>
      </c>
      <c r="B2" s="17" t="s">
        <v>1228</v>
      </c>
      <c r="C2" s="17" t="s">
        <v>1229</v>
      </c>
    </row>
    <row r="3" spans="1:5" x14ac:dyDescent="0.45">
      <c r="A3">
        <v>2</v>
      </c>
      <c r="B3" s="17" t="s">
        <v>653</v>
      </c>
      <c r="C3" s="17" t="s">
        <v>1238</v>
      </c>
    </row>
    <row r="4" spans="1:5" x14ac:dyDescent="0.45">
      <c r="A4">
        <v>3</v>
      </c>
      <c r="B4" s="17" t="s">
        <v>1241</v>
      </c>
      <c r="C4" s="17" t="s">
        <v>1242</v>
      </c>
    </row>
    <row r="5" spans="1:5" x14ac:dyDescent="0.45">
      <c r="A5">
        <v>4</v>
      </c>
      <c r="B5" s="17" t="s">
        <v>1251</v>
      </c>
      <c r="C5" s="17" t="s">
        <v>1252</v>
      </c>
    </row>
    <row r="6" spans="1:5" x14ac:dyDescent="0.45">
      <c r="A6">
        <v>5</v>
      </c>
      <c r="B6" s="17" t="s">
        <v>1254</v>
      </c>
      <c r="C6" s="17" t="s">
        <v>1255</v>
      </c>
    </row>
    <row r="7" spans="1:5" x14ac:dyDescent="0.45">
      <c r="A7">
        <v>6</v>
      </c>
      <c r="B7" s="17" t="s">
        <v>1270</v>
      </c>
      <c r="C7" s="17" t="s">
        <v>1271</v>
      </c>
    </row>
    <row r="8" spans="1:5" x14ac:dyDescent="0.45">
      <c r="A8">
        <v>7</v>
      </c>
      <c r="B8" s="17" t="s">
        <v>1290</v>
      </c>
      <c r="C8" s="17" t="s">
        <v>1291</v>
      </c>
    </row>
    <row r="9" spans="1:5" x14ac:dyDescent="0.45">
      <c r="A9">
        <v>8</v>
      </c>
      <c r="B9" s="17" t="s">
        <v>1304</v>
      </c>
      <c r="C9" s="17" t="s">
        <v>1305</v>
      </c>
    </row>
    <row r="10" spans="1:5" x14ac:dyDescent="0.45">
      <c r="A10">
        <v>9</v>
      </c>
      <c r="B10" s="17" t="s">
        <v>1307</v>
      </c>
      <c r="C10" s="17" t="s">
        <v>1308</v>
      </c>
    </row>
    <row r="11" spans="1:5" x14ac:dyDescent="0.45">
      <c r="A11">
        <v>10</v>
      </c>
      <c r="B11" s="17" t="s">
        <v>1279</v>
      </c>
      <c r="C11" s="17" t="s">
        <v>1313</v>
      </c>
    </row>
    <row r="12" spans="1:5" x14ac:dyDescent="0.45">
      <c r="A12">
        <v>11</v>
      </c>
      <c r="B12" s="17" t="s">
        <v>1251</v>
      </c>
      <c r="C12" s="17" t="s">
        <v>542</v>
      </c>
    </row>
    <row r="13" spans="1:5" x14ac:dyDescent="0.45">
      <c r="A13">
        <v>12</v>
      </c>
      <c r="B13" s="17" t="s">
        <v>556</v>
      </c>
      <c r="C13" s="17" t="s">
        <v>1320</v>
      </c>
    </row>
    <row r="14" spans="1:5" x14ac:dyDescent="0.45">
      <c r="A14">
        <v>13</v>
      </c>
      <c r="B14" s="17" t="s">
        <v>1323</v>
      </c>
      <c r="C14" s="17" t="s">
        <v>1324</v>
      </c>
    </row>
    <row r="15" spans="1:5" x14ac:dyDescent="0.45">
      <c r="A15">
        <v>14</v>
      </c>
      <c r="B15" s="17" t="s">
        <v>1333</v>
      </c>
      <c r="C15" s="17" t="s">
        <v>1334</v>
      </c>
    </row>
    <row r="16" spans="1:5" x14ac:dyDescent="0.45">
      <c r="A16">
        <v>15</v>
      </c>
      <c r="B16" s="17" t="s">
        <v>1363</v>
      </c>
      <c r="C16" s="17" t="s">
        <v>1252</v>
      </c>
    </row>
    <row r="17" spans="1:3" x14ac:dyDescent="0.45">
      <c r="A17">
        <v>16</v>
      </c>
      <c r="B17" s="17" t="s">
        <v>1367</v>
      </c>
      <c r="C17" s="17" t="s">
        <v>1313</v>
      </c>
    </row>
    <row r="18" spans="1:3" x14ac:dyDescent="0.45">
      <c r="A18">
        <v>17</v>
      </c>
      <c r="B18" s="17" t="s">
        <v>1379</v>
      </c>
      <c r="C18" s="17" t="s">
        <v>1380</v>
      </c>
    </row>
    <row r="19" spans="1:3" x14ac:dyDescent="0.45">
      <c r="A19">
        <v>18</v>
      </c>
      <c r="B19" s="17" t="s">
        <v>431</v>
      </c>
      <c r="C19" s="17" t="s">
        <v>1394</v>
      </c>
    </row>
    <row r="20" spans="1:3" x14ac:dyDescent="0.45">
      <c r="A20">
        <v>19</v>
      </c>
      <c r="B20" s="17" t="s">
        <v>583</v>
      </c>
      <c r="C20" s="17" t="s">
        <v>1387</v>
      </c>
    </row>
    <row r="21" spans="1:3" x14ac:dyDescent="0.45">
      <c r="A21">
        <v>20</v>
      </c>
      <c r="B21" s="17" t="s">
        <v>1411</v>
      </c>
      <c r="C21" s="17" t="s">
        <v>1412</v>
      </c>
    </row>
    <row r="22" spans="1:3" x14ac:dyDescent="0.45">
      <c r="A22">
        <v>21</v>
      </c>
      <c r="B22" s="17" t="s">
        <v>257</v>
      </c>
      <c r="C22" s="17" t="s">
        <v>1422</v>
      </c>
    </row>
    <row r="23" spans="1:3" x14ac:dyDescent="0.45">
      <c r="A23">
        <v>22</v>
      </c>
      <c r="B23" s="17" t="s">
        <v>1290</v>
      </c>
      <c r="C23" s="17" t="s">
        <v>1428</v>
      </c>
    </row>
    <row r="24" spans="1:3" x14ac:dyDescent="0.45">
      <c r="A24">
        <v>23</v>
      </c>
      <c r="B24" s="17" t="s">
        <v>1230</v>
      </c>
      <c r="C24" s="17" t="s">
        <v>1391</v>
      </c>
    </row>
    <row r="25" spans="1:3" x14ac:dyDescent="0.45">
      <c r="A25">
        <v>24</v>
      </c>
      <c r="B25" s="17" t="s">
        <v>1327</v>
      </c>
      <c r="C25" s="17" t="s">
        <v>1438</v>
      </c>
    </row>
    <row r="26" spans="1:3" x14ac:dyDescent="0.45">
      <c r="A26">
        <v>25</v>
      </c>
      <c r="B26" s="17" t="s">
        <v>1379</v>
      </c>
      <c r="C26" s="17" t="s">
        <v>1450</v>
      </c>
    </row>
    <row r="27" spans="1:3" x14ac:dyDescent="0.45">
      <c r="A27">
        <v>26</v>
      </c>
      <c r="B27" s="17" t="s">
        <v>1451</v>
      </c>
      <c r="C27" s="17" t="s">
        <v>1303</v>
      </c>
    </row>
    <row r="28" spans="1:3" x14ac:dyDescent="0.45">
      <c r="A28">
        <v>27</v>
      </c>
      <c r="B28" s="17" t="s">
        <v>1462</v>
      </c>
      <c r="C28" s="17" t="s">
        <v>1299</v>
      </c>
    </row>
    <row r="29" spans="1:3" x14ac:dyDescent="0.45">
      <c r="A29">
        <v>28</v>
      </c>
      <c r="B29" s="17" t="s">
        <v>409</v>
      </c>
      <c r="C29" s="17" t="s">
        <v>1478</v>
      </c>
    </row>
    <row r="30" spans="1:3" x14ac:dyDescent="0.45">
      <c r="A30">
        <v>29</v>
      </c>
      <c r="B30" s="17" t="s">
        <v>1316</v>
      </c>
      <c r="C30" s="17" t="s">
        <v>1510</v>
      </c>
    </row>
    <row r="31" spans="1:3" x14ac:dyDescent="0.45">
      <c r="A31">
        <v>30</v>
      </c>
      <c r="B31" s="17" t="s">
        <v>1512</v>
      </c>
      <c r="C31" s="17" t="s">
        <v>881</v>
      </c>
    </row>
    <row r="32" spans="1:3" x14ac:dyDescent="0.45">
      <c r="A32">
        <v>31</v>
      </c>
      <c r="B32" s="17" t="s">
        <v>1350</v>
      </c>
      <c r="C32" s="17" t="s">
        <v>1374</v>
      </c>
    </row>
    <row r="33" spans="1:3" x14ac:dyDescent="0.45">
      <c r="A33">
        <v>32</v>
      </c>
      <c r="B33" s="17" t="s">
        <v>1270</v>
      </c>
      <c r="C33" s="17" t="s">
        <v>1523</v>
      </c>
    </row>
    <row r="34" spans="1:3" x14ac:dyDescent="0.45">
      <c r="A34">
        <v>33</v>
      </c>
      <c r="B34" s="17" t="s">
        <v>1136</v>
      </c>
      <c r="C34" s="17" t="s">
        <v>1524</v>
      </c>
    </row>
    <row r="35" spans="1:3" x14ac:dyDescent="0.45">
      <c r="A35">
        <v>34</v>
      </c>
      <c r="B35" s="17" t="s">
        <v>1497</v>
      </c>
      <c r="C35" s="17" t="s">
        <v>1255</v>
      </c>
    </row>
    <row r="36" spans="1:3" x14ac:dyDescent="0.45">
      <c r="A36">
        <v>35</v>
      </c>
      <c r="B36" s="17" t="s">
        <v>682</v>
      </c>
      <c r="C36" s="17" t="s">
        <v>1291</v>
      </c>
    </row>
    <row r="37" spans="1:3" x14ac:dyDescent="0.45">
      <c r="A37">
        <v>36</v>
      </c>
      <c r="B37" s="17" t="s">
        <v>1260</v>
      </c>
      <c r="C37" s="17" t="s">
        <v>1526</v>
      </c>
    </row>
    <row r="38" spans="1:3" x14ac:dyDescent="0.45">
      <c r="A38">
        <v>37</v>
      </c>
      <c r="B38" s="17" t="s">
        <v>1507</v>
      </c>
      <c r="C38" s="17" t="s">
        <v>1378</v>
      </c>
    </row>
    <row r="39" spans="1:3" x14ac:dyDescent="0.45">
      <c r="A39">
        <v>38</v>
      </c>
      <c r="B39" s="17" t="s">
        <v>1350</v>
      </c>
      <c r="C39" s="17" t="s">
        <v>1465</v>
      </c>
    </row>
    <row r="40" spans="1:3" x14ac:dyDescent="0.45">
      <c r="A40">
        <v>39</v>
      </c>
      <c r="B40" s="17" t="s">
        <v>50</v>
      </c>
      <c r="C40" s="17" t="s">
        <v>1521</v>
      </c>
    </row>
    <row r="41" spans="1:3" x14ac:dyDescent="0.45">
      <c r="A41">
        <v>40</v>
      </c>
      <c r="B41" s="17" t="s">
        <v>1535</v>
      </c>
      <c r="C41" s="17" t="s">
        <v>1536</v>
      </c>
    </row>
    <row r="42" spans="1:3" x14ac:dyDescent="0.45">
      <c r="A42">
        <v>41</v>
      </c>
      <c r="B42" s="17" t="s">
        <v>1226</v>
      </c>
      <c r="C42" s="17" t="s">
        <v>1531</v>
      </c>
    </row>
    <row r="43" spans="1:3" x14ac:dyDescent="0.45">
      <c r="A43">
        <v>42</v>
      </c>
      <c r="B43" s="17" t="s">
        <v>59</v>
      </c>
      <c r="C43" s="17" t="s">
        <v>1370</v>
      </c>
    </row>
    <row r="44" spans="1:3" x14ac:dyDescent="0.45">
      <c r="A44">
        <v>43</v>
      </c>
      <c r="B44" s="17" t="s">
        <v>1373</v>
      </c>
      <c r="C44" s="17" t="s">
        <v>1545</v>
      </c>
    </row>
    <row r="45" spans="1:3" x14ac:dyDescent="0.45">
      <c r="A45">
        <v>44</v>
      </c>
      <c r="B45" s="17" t="s">
        <v>1431</v>
      </c>
      <c r="C45" s="17" t="s">
        <v>1312</v>
      </c>
    </row>
    <row r="46" spans="1:3" x14ac:dyDescent="0.45">
      <c r="A46">
        <v>45</v>
      </c>
      <c r="B46" s="17" t="s">
        <v>1216</v>
      </c>
      <c r="C46" s="17" t="s">
        <v>1278</v>
      </c>
    </row>
    <row r="47" spans="1:3" x14ac:dyDescent="0.45">
      <c r="A47">
        <v>46</v>
      </c>
      <c r="B47" s="17" t="s">
        <v>1241</v>
      </c>
      <c r="C47" s="17" t="s">
        <v>1556</v>
      </c>
    </row>
    <row r="48" spans="1:3" x14ac:dyDescent="0.45">
      <c r="A48">
        <v>47</v>
      </c>
      <c r="B48" s="17" t="s">
        <v>1564</v>
      </c>
      <c r="C48" s="17" t="s">
        <v>1271</v>
      </c>
    </row>
    <row r="49" spans="1:3" x14ac:dyDescent="0.45">
      <c r="A49">
        <v>48</v>
      </c>
      <c r="B49" s="17" t="s">
        <v>361</v>
      </c>
      <c r="C49" s="17" t="s">
        <v>1568</v>
      </c>
    </row>
    <row r="50" spans="1:3" x14ac:dyDescent="0.45">
      <c r="A50">
        <v>49</v>
      </c>
      <c r="B50" s="17" t="s">
        <v>820</v>
      </c>
      <c r="C50" s="17" t="s">
        <v>1467</v>
      </c>
    </row>
    <row r="51" spans="1:3" x14ac:dyDescent="0.45">
      <c r="A51">
        <v>50</v>
      </c>
      <c r="B51" s="17" t="s">
        <v>1230</v>
      </c>
      <c r="C51" s="17" t="s">
        <v>1476</v>
      </c>
    </row>
    <row r="52" spans="1:3" x14ac:dyDescent="0.45">
      <c r="A52">
        <v>51</v>
      </c>
      <c r="B52" s="17" t="s">
        <v>1379</v>
      </c>
      <c r="C52" s="17" t="s">
        <v>1225</v>
      </c>
    </row>
    <row r="53" spans="1:3" x14ac:dyDescent="0.45">
      <c r="A53">
        <v>52</v>
      </c>
      <c r="B53" s="17" t="s">
        <v>1364</v>
      </c>
      <c r="C53" s="17" t="s">
        <v>1572</v>
      </c>
    </row>
    <row r="54" spans="1:3" x14ac:dyDescent="0.45">
      <c r="A54">
        <v>53</v>
      </c>
      <c r="B54" s="17" t="s">
        <v>409</v>
      </c>
      <c r="C54" s="17" t="s">
        <v>1575</v>
      </c>
    </row>
    <row r="55" spans="1:3" x14ac:dyDescent="0.45">
      <c r="A55">
        <v>54</v>
      </c>
      <c r="B55" s="17" t="s">
        <v>1586</v>
      </c>
      <c r="C55" s="17" t="s">
        <v>1517</v>
      </c>
    </row>
    <row r="56" spans="1:3" x14ac:dyDescent="0.45">
      <c r="A56">
        <v>55</v>
      </c>
      <c r="B56" s="17" t="s">
        <v>246</v>
      </c>
      <c r="C56" s="17" t="s">
        <v>1588</v>
      </c>
    </row>
    <row r="57" spans="1:3" x14ac:dyDescent="0.45">
      <c r="A57">
        <v>56</v>
      </c>
      <c r="B57" s="17" t="s">
        <v>1383</v>
      </c>
      <c r="C57" s="17" t="s">
        <v>1339</v>
      </c>
    </row>
    <row r="58" spans="1:3" x14ac:dyDescent="0.45">
      <c r="A58">
        <v>57</v>
      </c>
      <c r="B58" s="17" t="s">
        <v>959</v>
      </c>
      <c r="C58" s="17" t="s">
        <v>1427</v>
      </c>
    </row>
    <row r="59" spans="1:3" x14ac:dyDescent="0.45">
      <c r="A59">
        <v>58</v>
      </c>
      <c r="B59" s="17" t="s">
        <v>292</v>
      </c>
      <c r="C59" s="17" t="s">
        <v>1251</v>
      </c>
    </row>
    <row r="60" spans="1:3" x14ac:dyDescent="0.45">
      <c r="A60">
        <v>59</v>
      </c>
      <c r="B60" s="17" t="s">
        <v>1366</v>
      </c>
      <c r="C60" s="17" t="s">
        <v>1476</v>
      </c>
    </row>
    <row r="61" spans="1:3" x14ac:dyDescent="0.45">
      <c r="A61">
        <v>60</v>
      </c>
      <c r="B61" s="13" t="s">
        <v>1226</v>
      </c>
      <c r="C61" s="13" t="s">
        <v>1560</v>
      </c>
    </row>
    <row r="62" spans="1:3" x14ac:dyDescent="0.45">
      <c r="A62">
        <v>61</v>
      </c>
      <c r="B62" s="17" t="s">
        <v>1584</v>
      </c>
      <c r="C62" s="17" t="s">
        <v>1282</v>
      </c>
    </row>
    <row r="63" spans="1:3" x14ac:dyDescent="0.45">
      <c r="B63" s="13"/>
      <c r="C63" s="13"/>
    </row>
    <row r="64" spans="1:3" x14ac:dyDescent="0.45">
      <c r="B64" s="13"/>
      <c r="C64" s="13"/>
    </row>
    <row r="65" spans="2:3" x14ac:dyDescent="0.45">
      <c r="B65" s="13"/>
      <c r="C65" s="13"/>
    </row>
    <row r="66" spans="2:3" x14ac:dyDescent="0.45">
      <c r="B66" s="13"/>
      <c r="C66" s="13"/>
    </row>
    <row r="67" spans="2:3" x14ac:dyDescent="0.45">
      <c r="B67" s="17"/>
      <c r="C67" s="17"/>
    </row>
    <row r="68" spans="2:3" x14ac:dyDescent="0.45">
      <c r="B68" s="17"/>
      <c r="C68" s="17"/>
    </row>
    <row r="69" spans="2:3" x14ac:dyDescent="0.45">
      <c r="B69" s="17"/>
      <c r="C69" s="17"/>
    </row>
    <row r="70" spans="2:3" x14ac:dyDescent="0.45">
      <c r="B70" s="13"/>
      <c r="C70" s="13"/>
    </row>
    <row r="71" spans="2:3" x14ac:dyDescent="0.45">
      <c r="B71" s="13"/>
      <c r="C71" s="13"/>
    </row>
    <row r="72" spans="2:3" x14ac:dyDescent="0.45">
      <c r="B72" s="13"/>
      <c r="C72" s="13"/>
    </row>
    <row r="73" spans="2:3" x14ac:dyDescent="0.45">
      <c r="B73" s="13"/>
      <c r="C73" s="13"/>
    </row>
    <row r="74" spans="2:3" x14ac:dyDescent="0.45">
      <c r="B74" s="13"/>
      <c r="C74" s="13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49F4-6C97-4344-AD3A-5D5419833670}">
  <sheetPr codeName="Feuil14"/>
  <dimension ref="A1:E74"/>
  <sheetViews>
    <sheetView workbookViewId="0">
      <pane ySplit="1" topLeftCell="A2" activePane="bottomLeft" state="frozen"/>
      <selection pane="bottomLeft" activeCell="C9" sqref="C9"/>
    </sheetView>
  </sheetViews>
  <sheetFormatPr defaultColWidth="10.6640625" defaultRowHeight="14.25" x14ac:dyDescent="0.45"/>
  <cols>
    <col min="2" max="2" width="16" customWidth="1"/>
    <col min="3" max="3" width="19.86328125" customWidth="1"/>
  </cols>
  <sheetData>
    <row r="1" spans="1:5" x14ac:dyDescent="0.45">
      <c r="A1" s="1" t="s">
        <v>1188</v>
      </c>
      <c r="B1" s="1" t="s">
        <v>9</v>
      </c>
      <c r="C1" s="1" t="s">
        <v>10</v>
      </c>
      <c r="D1" s="1" t="s">
        <v>1186</v>
      </c>
      <c r="E1" s="1" t="s">
        <v>1187</v>
      </c>
    </row>
    <row r="2" spans="1:5" x14ac:dyDescent="0.45">
      <c r="A2">
        <v>1</v>
      </c>
      <c r="B2" s="17"/>
      <c r="C2" s="17"/>
    </row>
    <row r="3" spans="1:5" x14ac:dyDescent="0.45">
      <c r="A3">
        <v>2</v>
      </c>
      <c r="B3" s="17"/>
      <c r="C3" s="17"/>
    </row>
    <row r="4" spans="1:5" x14ac:dyDescent="0.45">
      <c r="A4">
        <v>3</v>
      </c>
      <c r="B4" s="17"/>
      <c r="C4" s="17"/>
    </row>
    <row r="5" spans="1:5" x14ac:dyDescent="0.45">
      <c r="A5">
        <v>4</v>
      </c>
      <c r="B5" s="17"/>
      <c r="C5" s="17"/>
    </row>
    <row r="6" spans="1:5" x14ac:dyDescent="0.45">
      <c r="A6">
        <v>5</v>
      </c>
      <c r="B6" s="17"/>
      <c r="C6" s="17"/>
    </row>
    <row r="7" spans="1:5" x14ac:dyDescent="0.45">
      <c r="A7">
        <v>6</v>
      </c>
      <c r="B7" s="17"/>
      <c r="C7" s="17"/>
    </row>
    <row r="8" spans="1:5" x14ac:dyDescent="0.45">
      <c r="A8">
        <v>7</v>
      </c>
      <c r="B8" s="17"/>
      <c r="C8" s="17"/>
    </row>
    <row r="9" spans="1:5" x14ac:dyDescent="0.45">
      <c r="A9">
        <v>8</v>
      </c>
      <c r="B9" s="17"/>
      <c r="C9" s="17"/>
    </row>
    <row r="10" spans="1:5" x14ac:dyDescent="0.45">
      <c r="A10">
        <v>9</v>
      </c>
      <c r="B10" s="17"/>
      <c r="C10" s="17"/>
    </row>
    <row r="11" spans="1:5" x14ac:dyDescent="0.45">
      <c r="A11">
        <v>10</v>
      </c>
      <c r="B11" s="17"/>
      <c r="C11" s="17"/>
    </row>
    <row r="12" spans="1:5" x14ac:dyDescent="0.45">
      <c r="A12">
        <v>11</v>
      </c>
      <c r="B12" s="17"/>
      <c r="C12" s="17"/>
    </row>
    <row r="13" spans="1:5" x14ac:dyDescent="0.45">
      <c r="A13">
        <v>12</v>
      </c>
      <c r="B13" s="17"/>
      <c r="C13" s="17"/>
    </row>
    <row r="14" spans="1:5" x14ac:dyDescent="0.45">
      <c r="A14">
        <v>13</v>
      </c>
      <c r="B14" s="17"/>
      <c r="C14" s="17"/>
    </row>
    <row r="15" spans="1:5" x14ac:dyDescent="0.45">
      <c r="A15">
        <v>14</v>
      </c>
      <c r="B15" s="17"/>
      <c r="C15" s="17"/>
    </row>
    <row r="16" spans="1:5" x14ac:dyDescent="0.45">
      <c r="A16">
        <v>15</v>
      </c>
      <c r="B16" s="17"/>
      <c r="C16" s="17"/>
    </row>
    <row r="17" spans="1:3" x14ac:dyDescent="0.45">
      <c r="A17">
        <v>16</v>
      </c>
      <c r="B17" s="17"/>
      <c r="C17" s="17"/>
    </row>
    <row r="18" spans="1:3" x14ac:dyDescent="0.45">
      <c r="A18">
        <v>17</v>
      </c>
      <c r="B18" s="17"/>
      <c r="C18" s="17"/>
    </row>
    <row r="19" spans="1:3" x14ac:dyDescent="0.45">
      <c r="A19">
        <v>18</v>
      </c>
      <c r="B19" s="17"/>
      <c r="C19" s="17"/>
    </row>
    <row r="20" spans="1:3" x14ac:dyDescent="0.45">
      <c r="A20">
        <v>19</v>
      </c>
      <c r="B20" s="17"/>
      <c r="C20" s="17"/>
    </row>
    <row r="21" spans="1:3" x14ac:dyDescent="0.45">
      <c r="A21">
        <v>20</v>
      </c>
      <c r="B21" s="17"/>
      <c r="C21" s="17"/>
    </row>
    <row r="22" spans="1:3" x14ac:dyDescent="0.45">
      <c r="A22">
        <v>21</v>
      </c>
      <c r="B22" s="17"/>
      <c r="C22" s="17"/>
    </row>
    <row r="23" spans="1:3" x14ac:dyDescent="0.45">
      <c r="A23">
        <v>22</v>
      </c>
      <c r="B23" s="17"/>
      <c r="C23" s="17"/>
    </row>
    <row r="24" spans="1:3" x14ac:dyDescent="0.45">
      <c r="A24">
        <v>23</v>
      </c>
      <c r="B24" s="17"/>
      <c r="C24" s="17"/>
    </row>
    <row r="25" spans="1:3" x14ac:dyDescent="0.45">
      <c r="A25">
        <v>24</v>
      </c>
      <c r="B25" s="17"/>
      <c r="C25" s="17"/>
    </row>
    <row r="26" spans="1:3" x14ac:dyDescent="0.45">
      <c r="A26">
        <v>25</v>
      </c>
      <c r="B26" s="17"/>
      <c r="C26" s="17"/>
    </row>
    <row r="27" spans="1:3" x14ac:dyDescent="0.45">
      <c r="A27">
        <v>26</v>
      </c>
      <c r="B27" s="17"/>
      <c r="C27" s="17"/>
    </row>
    <row r="28" spans="1:3" x14ac:dyDescent="0.45">
      <c r="A28">
        <v>27</v>
      </c>
      <c r="B28" s="17"/>
      <c r="C28" s="17"/>
    </row>
    <row r="29" spans="1:3" x14ac:dyDescent="0.45">
      <c r="A29">
        <v>28</v>
      </c>
      <c r="B29" s="17"/>
      <c r="C29" s="17"/>
    </row>
    <row r="30" spans="1:3" x14ac:dyDescent="0.45">
      <c r="A30">
        <v>29</v>
      </c>
      <c r="B30" s="17"/>
      <c r="C30" s="17"/>
    </row>
    <row r="31" spans="1:3" x14ac:dyDescent="0.45">
      <c r="A31">
        <v>30</v>
      </c>
      <c r="B31" s="17"/>
      <c r="C31" s="17"/>
    </row>
    <row r="32" spans="1:3" x14ac:dyDescent="0.45">
      <c r="A32">
        <v>31</v>
      </c>
      <c r="B32" s="17"/>
      <c r="C32" s="17"/>
    </row>
    <row r="33" spans="1:3" x14ac:dyDescent="0.45">
      <c r="A33">
        <v>32</v>
      </c>
      <c r="B33" s="17"/>
      <c r="C33" s="17"/>
    </row>
    <row r="34" spans="1:3" x14ac:dyDescent="0.45">
      <c r="A34">
        <v>33</v>
      </c>
      <c r="B34" s="17"/>
      <c r="C34" s="17"/>
    </row>
    <row r="35" spans="1:3" x14ac:dyDescent="0.45">
      <c r="A35">
        <v>34</v>
      </c>
      <c r="B35" s="17"/>
      <c r="C35" s="17"/>
    </row>
    <row r="36" spans="1:3" x14ac:dyDescent="0.45">
      <c r="A36">
        <v>35</v>
      </c>
      <c r="B36" s="17"/>
      <c r="C36" s="17"/>
    </row>
    <row r="37" spans="1:3" x14ac:dyDescent="0.45">
      <c r="A37">
        <v>36</v>
      </c>
      <c r="B37" s="17"/>
      <c r="C37" s="17"/>
    </row>
    <row r="38" spans="1:3" x14ac:dyDescent="0.45">
      <c r="A38">
        <v>37</v>
      </c>
      <c r="B38" s="17"/>
      <c r="C38" s="17"/>
    </row>
    <row r="39" spans="1:3" x14ac:dyDescent="0.45">
      <c r="A39">
        <v>38</v>
      </c>
      <c r="B39" s="17"/>
      <c r="C39" s="17"/>
    </row>
    <row r="40" spans="1:3" x14ac:dyDescent="0.45">
      <c r="A40">
        <v>39</v>
      </c>
      <c r="B40" s="17"/>
      <c r="C40" s="17"/>
    </row>
    <row r="41" spans="1:3" x14ac:dyDescent="0.45">
      <c r="A41">
        <v>40</v>
      </c>
      <c r="B41" s="17"/>
      <c r="C41" s="17"/>
    </row>
    <row r="42" spans="1:3" x14ac:dyDescent="0.45">
      <c r="A42">
        <v>41</v>
      </c>
      <c r="B42" s="17"/>
      <c r="C42" s="17"/>
    </row>
    <row r="43" spans="1:3" x14ac:dyDescent="0.45">
      <c r="A43">
        <v>42</v>
      </c>
      <c r="B43" s="17"/>
      <c r="C43" s="17"/>
    </row>
    <row r="44" spans="1:3" x14ac:dyDescent="0.45">
      <c r="A44">
        <v>43</v>
      </c>
      <c r="B44" s="17"/>
      <c r="C44" s="17"/>
    </row>
    <row r="45" spans="1:3" x14ac:dyDescent="0.45">
      <c r="A45">
        <v>44</v>
      </c>
      <c r="B45" s="17"/>
      <c r="C45" s="17"/>
    </row>
    <row r="46" spans="1:3" x14ac:dyDescent="0.45">
      <c r="A46">
        <v>45</v>
      </c>
      <c r="B46" s="17"/>
      <c r="C46" s="17"/>
    </row>
    <row r="47" spans="1:3" x14ac:dyDescent="0.45">
      <c r="A47">
        <v>46</v>
      </c>
      <c r="B47" s="17"/>
      <c r="C47" s="17"/>
    </row>
    <row r="48" spans="1:3" x14ac:dyDescent="0.45">
      <c r="A48">
        <v>47</v>
      </c>
      <c r="B48" s="17"/>
      <c r="C48" s="17"/>
    </row>
    <row r="49" spans="1:3" x14ac:dyDescent="0.45">
      <c r="A49">
        <v>48</v>
      </c>
      <c r="B49" s="17"/>
      <c r="C49" s="17"/>
    </row>
    <row r="50" spans="1:3" x14ac:dyDescent="0.45">
      <c r="A50">
        <v>49</v>
      </c>
      <c r="B50" s="17"/>
      <c r="C50" s="17"/>
    </row>
    <row r="51" spans="1:3" x14ac:dyDescent="0.45">
      <c r="A51">
        <v>50</v>
      </c>
      <c r="B51" s="17"/>
      <c r="C51" s="17"/>
    </row>
    <row r="52" spans="1:3" x14ac:dyDescent="0.45">
      <c r="A52">
        <v>51</v>
      </c>
      <c r="B52" s="13"/>
      <c r="C52" s="13"/>
    </row>
    <row r="53" spans="1:3" x14ac:dyDescent="0.45">
      <c r="A53">
        <v>52</v>
      </c>
      <c r="B53" s="13"/>
      <c r="C53" s="13"/>
    </row>
    <row r="54" spans="1:3" x14ac:dyDescent="0.45">
      <c r="A54">
        <v>53</v>
      </c>
      <c r="B54" s="17"/>
      <c r="C54" s="17"/>
    </row>
    <row r="55" spans="1:3" x14ac:dyDescent="0.45">
      <c r="A55">
        <v>54</v>
      </c>
      <c r="B55" s="13"/>
      <c r="C55" s="13"/>
    </row>
    <row r="56" spans="1:3" x14ac:dyDescent="0.45">
      <c r="B56" s="14"/>
      <c r="C56" s="14"/>
    </row>
    <row r="57" spans="1:3" x14ac:dyDescent="0.45">
      <c r="B57" s="14"/>
      <c r="C57" s="14"/>
    </row>
    <row r="58" spans="1:3" x14ac:dyDescent="0.45">
      <c r="B58" s="17"/>
      <c r="C58" s="17"/>
    </row>
    <row r="59" spans="1:3" x14ac:dyDescent="0.45">
      <c r="B59" s="17"/>
      <c r="C59" s="17"/>
    </row>
    <row r="60" spans="1:3" x14ac:dyDescent="0.45">
      <c r="B60" s="17"/>
      <c r="C60" s="17"/>
    </row>
    <row r="61" spans="1:3" x14ac:dyDescent="0.45">
      <c r="B61" s="13"/>
      <c r="C61" s="13"/>
    </row>
    <row r="62" spans="1:3" x14ac:dyDescent="0.45">
      <c r="B62" s="17"/>
      <c r="C62" s="17"/>
    </row>
    <row r="63" spans="1:3" x14ac:dyDescent="0.45">
      <c r="B63" s="13"/>
      <c r="C63" s="13"/>
    </row>
    <row r="64" spans="1:3" x14ac:dyDescent="0.45">
      <c r="B64" s="13"/>
      <c r="C64" s="13"/>
    </row>
    <row r="65" spans="2:3" x14ac:dyDescent="0.45">
      <c r="B65" s="13"/>
      <c r="C65" s="13"/>
    </row>
    <row r="66" spans="2:3" x14ac:dyDescent="0.45">
      <c r="B66" s="13"/>
      <c r="C66" s="13"/>
    </row>
    <row r="67" spans="2:3" x14ac:dyDescent="0.45">
      <c r="B67" s="17"/>
      <c r="C67" s="17"/>
    </row>
    <row r="68" spans="2:3" x14ac:dyDescent="0.45">
      <c r="B68" s="17"/>
      <c r="C68" s="17"/>
    </row>
    <row r="69" spans="2:3" x14ac:dyDescent="0.45">
      <c r="B69" s="17"/>
      <c r="C69" s="17"/>
    </row>
    <row r="70" spans="2:3" x14ac:dyDescent="0.45">
      <c r="B70" s="13"/>
      <c r="C70" s="13"/>
    </row>
    <row r="71" spans="2:3" x14ac:dyDescent="0.45">
      <c r="B71" s="13"/>
      <c r="C71" s="13"/>
    </row>
    <row r="72" spans="2:3" x14ac:dyDescent="0.45">
      <c r="B72" s="13"/>
      <c r="C72" s="13"/>
    </row>
    <row r="73" spans="2:3" x14ac:dyDescent="0.45">
      <c r="B73" s="13"/>
      <c r="C73" s="13"/>
    </row>
    <row r="74" spans="2:3" x14ac:dyDescent="0.45">
      <c r="B74" s="13"/>
      <c r="C74" s="13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0.TO DO</vt:lpstr>
      <vt:lpstr>1.Export</vt:lpstr>
      <vt:lpstr>2.Données</vt:lpstr>
      <vt:lpstr>3.Solveur</vt:lpstr>
      <vt:lpstr>4.Synthèse</vt:lpstr>
      <vt:lpstr>Bus 1</vt:lpstr>
      <vt:lpstr>Bus 2</vt:lpstr>
      <vt:lpstr>Bus 3</vt:lpstr>
      <vt:lpstr>Bus 4</vt:lpstr>
      <vt:lpstr>Bus 5</vt:lpstr>
      <vt:lpstr>Bus 6</vt:lpstr>
      <vt:lpstr>Bus 7</vt:lpstr>
      <vt:lpstr>Bus 8</vt:lpstr>
      <vt:lpstr>Bus 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Maatwebsite</dc:creator>
  <cp:lastModifiedBy>nathan Davouse</cp:lastModifiedBy>
  <dcterms:created xsi:type="dcterms:W3CDTF">2021-09-03T08:18:24Z</dcterms:created>
  <dcterms:modified xsi:type="dcterms:W3CDTF">2024-02-15T16:07:07Z</dcterms:modified>
</cp:coreProperties>
</file>